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ruolin/Downloads/"/>
    </mc:Choice>
  </mc:AlternateContent>
  <xr:revisionPtr revIDLastSave="0" documentId="13_ncr:1_{D63934DB-6495-394F-9FF4-8226A8F688D5}" xr6:coauthVersionLast="47" xr6:coauthVersionMax="47" xr10:uidLastSave="{00000000-0000-0000-0000-000000000000}"/>
  <bookViews>
    <workbookView xWindow="34700" yWindow="660" windowWidth="38080" windowHeight="20780" tabRatio="500" xr2:uid="{00000000-000D-0000-FFFF-FFFF00000000}"/>
  </bookViews>
  <sheets>
    <sheet name="TAPP" sheetId="1" r:id="rId1"/>
    <sheet name="Legend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97" i="1" l="1"/>
  <c r="V96" i="1"/>
  <c r="V95" i="1"/>
  <c r="V94" i="1"/>
  <c r="V93" i="1"/>
  <c r="V92" i="1"/>
  <c r="V91" i="1"/>
  <c r="V90" i="1"/>
  <c r="V87" i="1"/>
  <c r="V86" i="1"/>
  <c r="V85" i="1"/>
  <c r="V84" i="1"/>
  <c r="V83" i="1"/>
  <c r="V82" i="1"/>
  <c r="V81" i="1"/>
  <c r="V80" i="1"/>
  <c r="V79" i="1"/>
  <c r="V78" i="1"/>
  <c r="V77" i="1"/>
  <c r="V76" i="1"/>
  <c r="V75" i="1"/>
  <c r="V74" i="1"/>
  <c r="V73" i="1"/>
  <c r="V66" i="1"/>
  <c r="V65" i="1"/>
  <c r="V64" i="1"/>
  <c r="V62" i="1"/>
  <c r="V61" i="1"/>
  <c r="V60" i="1"/>
  <c r="V59" i="1"/>
  <c r="V57" i="1"/>
  <c r="V56" i="1"/>
  <c r="V55" i="1"/>
  <c r="V54" i="1"/>
  <c r="V53" i="1"/>
  <c r="V52" i="1"/>
  <c r="V51" i="1"/>
  <c r="V50" i="1"/>
  <c r="V49" i="1"/>
  <c r="V48" i="1"/>
  <c r="V47" i="1"/>
  <c r="V46" i="1"/>
  <c r="V45" i="1"/>
  <c r="V44" i="1"/>
  <c r="V43" i="1"/>
  <c r="V42" i="1"/>
  <c r="V41" i="1"/>
  <c r="V40" i="1"/>
  <c r="V37" i="1"/>
  <c r="V36" i="1"/>
  <c r="V35" i="1"/>
  <c r="V34" i="1"/>
  <c r="V33" i="1"/>
  <c r="V32" i="1"/>
  <c r="V31" i="1"/>
  <c r="V30" i="1"/>
  <c r="V29" i="1"/>
  <c r="V28" i="1"/>
  <c r="V27" i="1"/>
  <c r="V24" i="1"/>
  <c r="V23" i="1"/>
  <c r="V22" i="1"/>
  <c r="V19" i="1"/>
  <c r="V18" i="1"/>
  <c r="V15" i="1"/>
  <c r="V14" i="1"/>
  <c r="V12" i="1"/>
  <c r="V9" i="1"/>
  <c r="V8" i="1"/>
  <c r="V7" i="1"/>
  <c r="V5" i="1"/>
  <c r="V4" i="1"/>
  <c r="V3" i="1"/>
</calcChain>
</file>

<file path=xl/sharedStrings.xml><?xml version="1.0" encoding="utf-8"?>
<sst xmlns="http://schemas.openxmlformats.org/spreadsheetml/2006/main" count="1570" uniqueCount="706">
  <si>
    <t>Metadata Item</t>
  </si>
  <si>
    <t>Description</t>
  </si>
  <si>
    <t>Protocol-Level Tier</t>
  </si>
  <si>
    <t>Analysis-Level Tier</t>
  </si>
  <si>
    <t>Data Type</t>
  </si>
  <si>
    <t>Example/Allowed Content</t>
  </si>
  <si>
    <t>Spot</t>
  </si>
  <si>
    <t>Transect</t>
  </si>
  <si>
    <t>Mapping</t>
  </si>
  <si>
    <t>Zhang et al. 2022
(GCA 323)
Iron meteorites
LA-ICP-MS (raster)</t>
  </si>
  <si>
    <t>Chernonozhkin et al. 2021
(Chem Geol 562)
Pallasite olivine/phosphate
LA-ICP-MS (spot + mapping)</t>
  </si>
  <si>
    <t>Masuda et al. 2024
(M&amp;PS 59)
CAI minerals
fsLA-ICP-MS (imaging)</t>
  </si>
  <si>
    <t>Mittlefehldt 2024
Appendix A
Pallasite olivine/chromite
LA-ICP-MS (spot)</t>
  </si>
  <si>
    <t>Nakanishi et al. 2022
(GCA 319)
CR chondrite metals
fsLA-ICP-MS (spot)</t>
  </si>
  <si>
    <t>Chernonozhkin et al. 2024
(JAAS 39)
Micrometeorites (cosmic spherules)
LA-ICP-ToF-MS (mapping)</t>
  </si>
  <si>
    <t>Liu et al. 2024
(JAAS 39)
Extraterrestrial samples in flux fusion glass
fs-LA-ICP-MS (spot)</t>
  </si>
  <si>
    <t>Liu et al. 2025
(GCA 393)
Experimental glasses &amp; sulfides
LA-ICP-MS (spot)</t>
  </si>
  <si>
    <t>Navarro et al. 2024
(ACS ESC 8)
Iron meteorites
LA-ICP-SFMS (spot + mapping)</t>
  </si>
  <si>
    <t>Zhang et al. 2022
(At. Spectrosc. 43)
Lunar meteorite minerals
LA-MC-ICP-MS (line scan)</t>
  </si>
  <si>
    <t>Level of Completeness</t>
  </si>
  <si>
    <t>1. Protocol Identification</t>
  </si>
  <si>
    <t>Protocol Name</t>
  </si>
  <si>
    <t>A short descriptive name for this analytical protocol, with version number. Should include instrument, technique, target analyte group, and measured chemical variable.</t>
  </si>
  <si>
    <t>Basic</t>
  </si>
  <si>
    <t>Read-Only</t>
  </si>
  <si>
    <t>Text (free)</t>
  </si>
  <si>
    <t>e.g., 'LA-ICP-MS Trace Elements Silicate Glass v1.2' | 'fs-LA-ICP-MS Major and Trace Elements Sulfide v1'</t>
  </si>
  <si>
    <t>Y</t>
  </si>
  <si>
    <t>N</t>
  </si>
  <si>
    <t>Technique</t>
  </si>
  <si>
    <t>Top-level analytical technique identifier.</t>
  </si>
  <si>
    <t>Controlled list</t>
  </si>
  <si>
    <t>LA-ICP-MS | LA-ICP-OES | LA-MC-ICP-MS | LA-ICP-ToF-MS | LA-ICP-MS/MS | Others: specify</t>
  </si>
  <si>
    <t>LA-ICP-MS</t>
  </si>
  <si>
    <t>fs-LA-ICP-MS</t>
  </si>
  <si>
    <t>LA-ICP-ToF-MS</t>
  </si>
  <si>
    <t>LA-ICP-SFMS (sector-field)</t>
  </si>
  <si>
    <t>LA-MC-ICP-MS</t>
  </si>
  <si>
    <t>Protocol Author</t>
  </si>
  <si>
    <t>Author(s) of the protocol. Can be individual names or lab names. ORCID is recommended for individuals.</t>
  </si>
  <si>
    <t>e.g., 'J. Smith (ORCID: 0000-0001-2345-6789)' | 'Isotope Geochemistry Lab, University of X'</t>
  </si>
  <si>
    <t>Analyst</t>
  </si>
  <si>
    <t>Name(s) of the analyst(s) who performed the actual analysis. ORCID is recommended for persistent identification.</t>
  </si>
  <si>
    <t>N/A</t>
  </si>
  <si>
    <t>e.g., 'J. Smith (ORCID: 0000-0001-2345-6789)'</t>
  </si>
  <si>
    <t>Laboratory</t>
  </si>
  <si>
    <t>Name of the laboratory or institution hosting the instrument.</t>
  </si>
  <si>
    <t>Editable</t>
  </si>
  <si>
    <t>e.g., 'Geo-/Cosmochemistry Lab, University of Cologne'</t>
  </si>
  <si>
    <t>FSU Plasma Analytical Facility, Florida State University</t>
  </si>
  <si>
    <t>Ghent University, Dept. of Chemistry, A&amp;MS Research Unit</t>
  </si>
  <si>
    <t>Dept. of Earth &amp; Planetary Sciences, Univ. of Tokyo</t>
  </si>
  <si>
    <t>Astromaterials Research and Exploration Science (ARES), Johnson Space Center, NASA</t>
  </si>
  <si>
    <t>Dept. of Earth &amp; Planetary Sciences, Tokyo Institute of Technology</t>
  </si>
  <si>
    <t>State Key Laboratory of Lithospheric Evolution, Institute of Geology &amp; Geophysics, Chinese Academy of Sciences, Beijing</t>
  </si>
  <si>
    <t>Guangzhou Institute of Geochemistry, CAS; Hefei University of Technology</t>
  </si>
  <si>
    <t>Isotope Geology Laboratory, University of Campinas (UNICAMP), Brazil</t>
  </si>
  <si>
    <t>State Key Laboratory of Geological Processes and Mineral Resources, China University of Geosciences, Wuhan</t>
  </si>
  <si>
    <t>Laboratory ID</t>
  </si>
  <si>
    <t>Persistent identifier for the laboratory, e.g., ROR ID.</t>
  </si>
  <si>
    <t>Advanced</t>
  </si>
  <si>
    <t>URI</t>
  </si>
  <si>
    <t>ROR ID or equivalent URI (https://ror.org/)</t>
  </si>
  <si>
    <t>Protocol Start Date</t>
  </si>
  <si>
    <t>First date this protocol configuration was used in production.</t>
  </si>
  <si>
    <t>Date</t>
  </si>
  <si>
    <t>YYYY-MM-DD, e.g., 2022-04-22</t>
  </si>
  <si>
    <t>Analysis Start Date</t>
  </si>
  <si>
    <t>Date on which the analytical session began. For analyses spanning multiple days, use the date of the first session. Format: YYYY-MM-DD.</t>
  </si>
  <si>
    <t>Analysis End Date</t>
  </si>
  <si>
    <t>Date on which the analytical session ended. May equal Analysis Start Date for single-day sessions. Format: YYYY-MM-DD.</t>
  </si>
  <si>
    <t>Protocol DOI</t>
  </si>
  <si>
    <t>DOI or unique persistent identifier for the registered protocol used in this analysis, generated upon protocol submission to a data repository. This field is mandatory when submitting analytical data to encourage formal protocol registration and ensure traceability. If a DOI has been applied for but not yet minted, enter "pending".</t>
  </si>
  <si>
    <t>URI / DOI</t>
  </si>
  <si>
    <t>e.g., http://doi.org/10.60520/IEDA/114187 | pending</t>
  </si>
  <si>
    <t>Funding Source for Protocol Development</t>
  </si>
  <si>
    <t>Grants and other funding sources that supported instrument purchase, major upgrades, protocol development, and associated personnel time. Include grant numbers and funding agencies where applicable.</t>
  </si>
  <si>
    <t>e.g., 'NSF EAR-2142500; DFG INST 216/1019-1 FUGG no. 665508' | 'None'</t>
  </si>
  <si>
    <t>Funding Source for Analysis</t>
  </si>
  <si>
    <t>Grants and other funding sources that supported the specific sample analyses and data collection reported here. Include grant numbers and funding agencies. Distinct from protocol development funding, which may have been awarded years earlier.</t>
  </si>
  <si>
    <t>e.g., 'NASA 80NSSC21K0153; DFG WE 2850/5-1' | 'None'</t>
  </si>
  <si>
    <t>NSF EAR-1447404; NASA NNX15AJ25G</t>
  </si>
  <si>
    <t>Planet Topers, Interuniversity Attraction Poles Program (BELSPO); FWO "Excellence of Science" (EoS) project ET-HoME ID 30442502; FWO postdoctoral fellowship (SVM); Alexander von Humboldt Foundation postdoctoral fellowship (SJM); FWO and BELSPO support (SG, PC); BOF-UGent and FWO EoS (FV); Teledyne CETAC Technologies (logistic and financial support)</t>
  </si>
  <si>
    <t>JSPS 18H03714, 18H05437, 20H01972</t>
  </si>
  <si>
    <t>JSPS JP18H01289, JP20H00193</t>
  </si>
  <si>
    <t>FWO 'Excellence of Science' ET-HoME ID30442502; Montanuniversität Leoben; FWO postdoctoral fellowship FWO.3E0.2022.0048.01</t>
  </si>
  <si>
    <t>Strategic Priority Research Program (B) of CAS (XDB0710000); NSFC 42073022</t>
  </si>
  <si>
    <t>Strategic Priority Research Program (B) of CAS (XDB0840200); NSFC 92062222, 42073057, 42250710679, 42250202, 42273023</t>
  </si>
  <si>
    <t>CNSA pre-research project D020205; NSFC 41973013; Natural Science Foundation of Hubei Province 2020CFA045; MSFGPMR04 and MSFGPMR08</t>
  </si>
  <si>
    <t>Protocol Reference(s)</t>
  </si>
  <si>
    <t>DOI or URL for peer-reviewed publications or technical reports describing, validating, or benchmarking this protocol.</t>
  </si>
  <si>
    <t>e.g., doi:10.1016/j.oregeorev.2011.11.001</t>
  </si>
  <si>
    <t>Zhang et al. 2022, GCA 323, doi:10.1016/j.gca.2021.11.023</t>
  </si>
  <si>
    <t>Chernonozhkin et al. 2014 (JAAS); Chernonozhkin et al. 2017 (Anal Chim Acta)</t>
  </si>
  <si>
    <t>Maeda et al. 2023 (JAAS 38:369–381)</t>
  </si>
  <si>
    <t>Zhang et al. 2018, Chem. Geol. 479:10–21</t>
  </si>
  <si>
    <t>2. Samples</t>
  </si>
  <si>
    <t>Target Material</t>
  </si>
  <si>
    <t>General description of the material type(s) this protocol is designed to analyse. Used for discoverability and protocol matching.</t>
  </si>
  <si>
    <t>Controlled list / Text</t>
  </si>
  <si>
    <t>Silicate glass | Feldspar | Pyroxene | Olivine | Oxide | Sulfide | Carbonate | Phosphate | Native metal | Iron meteorite | Fluid inclusion | Melt inclusion | Whole rock | Other: specify</t>
  </si>
  <si>
    <t>Fe-Ni metal (kamacite, taenite, plessite) in iron meteorites</t>
  </si>
  <si>
    <t>Olivine and Ca-phosphate (merrillite, stanfieldite) in pallasite main group (PMG): Imilac, Springwater, Fukang, CMS 04071, Esquel, Seymchan, Brahin, Brenham</t>
  </si>
  <si>
    <t>Pyroxene, melilite, grossite, hibonite in fine-grained CAIs (Allende)</t>
  </si>
  <si>
    <t>Olivine, chromite in pallasites (Brahin, Fukang)</t>
  </si>
  <si>
    <t>Fe-Ni metal (kamacite, taenite) in CR2 chondrites</t>
  </si>
  <si>
    <t>Silicate glass (glassy mesostasis), olivine, magnetite in melted micrometeorites (cosmic spherules); geological glass reference materials (GRMs)</t>
  </si>
  <si>
    <t>Lithium borate fusion glasses prepared from extraterrestrial geological samples (lunar soil, meteorites) and silicate rock GRMs</t>
  </si>
  <si>
    <t>Quenched experimental silicate glass (dacitic composition) and pyrrhotite sulfide from high-pressure piston-cylinder experiments</t>
  </si>
  <si>
    <t>Fe-Ni metal (kamacite, plessite, taenite) in iron meteorites</t>
  </si>
  <si>
    <t>Plagioclase, pyroxene, ilmenite, glass in lunar mare basalt meteorites (NWA 10597, NWA 6950)</t>
  </si>
  <si>
    <t>Sample Form / Analytical Substrate</t>
  </si>
  <si>
    <t>Physical form of the material as it enters the ablation cell. Editable to accommodate legitimate variations (e.g., thin section vs. mount) that do not alter the analytical protocol.</t>
  </si>
  <si>
    <t>In situ — polished thin section | In situ — polished epoxy mount | In situ — polished thick section | Pressed powder pellet | Li-borate fused glass disc | Nano-particulate pressed pellet | Liquid | Other: specify</t>
  </si>
  <si>
    <t>In situ (polished fragment mounted in epoxy, ~1 cm)</t>
  </si>
  <si>
    <t>In situ (polished thin section or epoxy mount, polished to 1 µm diamond paste)</t>
  </si>
  <si>
    <t>In situ (polished petrographic section, carbon-coated for SEM then cleaned)</t>
  </si>
  <si>
    <t>In situ (polished mount)</t>
  </si>
  <si>
    <t>In situ (polished thin section in epoxy)</t>
  </si>
  <si>
    <t>In situ (polished epoxy mount); progressively polished 1200–4000 grit SiC then 4000 grit diamond paste</t>
  </si>
  <si>
    <t>Li-borate fused glass (flux fusion); 10 mg sample fused with 350 mg Li₂B₄O₇ (1:35 dilution ratio)</t>
  </si>
  <si>
    <t>In situ (polished epoxy half-capsule, longitudinally sectioned after experiment)</t>
  </si>
  <si>
    <t>In situ (polished fragment ~1 cm in epoxy, cleaned with ultrapure water; mapping surface etched with 2% v/v HNO₃ in ethanol)</t>
  </si>
  <si>
    <t>In situ (polished thin section)</t>
  </si>
  <si>
    <t>Sample Name</t>
  </si>
  <si>
    <t>Name or identifier of the sample analysed, as used in the laboratory. Should match the identifier used in associated publications or data tables.</t>
  </si>
  <si>
    <t>e.g., 'NWA 10597 ol-1' | 'Imilac PMG section 3 grain 2'</t>
  </si>
  <si>
    <t>Sample Persistent Identifier</t>
  </si>
  <si>
    <t>Globally unique, persistent identifier for the analysed sample. IGSN (International Geo Sample Number) is the recommended standard for geological and cosmochemical samples, as used by Astromat, EarthChem, and SESAR.</t>
  </si>
  <si>
    <t>URI / IGSN</t>
  </si>
  <si>
    <t>e.g., IGSN: IEDA-100001 (https://www.igsn.org/) | Smithsonian NMNH catalog number</t>
  </si>
  <si>
    <t>Fusion Flux and Dilution Ratio</t>
  </si>
  <si>
    <t>For protocols using fused glass, the flux type and sample:flux dilution ratio used to prepare the analytical glass.</t>
  </si>
  <si>
    <t>e.g., 'Li-tetraborate, 1:2 (sample:flux)' | 'Li-metaborate/tetraborate 50:50, 1:5' | 'Not applicable (in situ)'</t>
  </si>
  <si>
    <t>Li₂B₄O₇ flux (≥99.99% purity, Claisse); sample:flux ratio 1:35 (10 mg sample : 350 mg flux); NH₄Br releasing agent (13.3 µL of 0.36 g/mL solution); prepared as mini glass disk using M4 automatic fluxer (Claisse Fluxy)</t>
  </si>
  <si>
    <t>Sample Preparation Method</t>
  </si>
  <si>
    <t>Description of how samples were prepared for analysis (mounting, polishing, coating, fusion procedure, etc.).</t>
  </si>
  <si>
    <t>e.g., 'Polished thin section, uncoated' | '25 mm epoxy mount, polished to 0.25 µm diamond' | 'Double-fused Li-tetraborate bead, polished to 1 µm'</t>
  </si>
  <si>
    <t>Fragments ~1 cm mounted in epoxy, polished, and cleaned with ultrapure water</t>
  </si>
  <si>
    <t>Polished thin sections or epoxy mounts, polished to 1 µm diamond paste; carbon coating removed before LA-ICP-MS</t>
  </si>
  <si>
    <t>Petrographic polished thin sections; carbon-coated for SEM characterization, then coating removed before fs-LA-ICP-MS</t>
  </si>
  <si>
    <t>Olivine grain fragments washed in dilute HCl then triply distilled H₂O (ultrasonic); hand-picked pure olivine separates; subset of grains made into polished grain mounts for in-situ analyses; SEM imaging before LA to locate regions for analysis (avoid surface inclusions)</t>
  </si>
  <si>
    <t>Polished thin sections in epoxy</t>
  </si>
  <si>
    <t>Cast into epoxy mounts; progressively polished with 1200–4000 grit SiC sandpaper and 4000 grit diamond paste; gently re-polished after SEM-BSE (to remove C coating) before LA-ICP-ToF-MS</t>
  </si>
  <si>
    <t>Sample powders dried, weighed (10.00 ± 0.03 mg), mixed with Li₂B₄O₇ (350.0 ± 0.3 mg) and NH₄Br releasing agent in Pt–Au crucible; fused into mini glass disk (M4 automatic fluxer, Claisse Fluxy); surface cleaned with ethanol before LA analysis</t>
  </si>
  <si>
    <t>Capsules longitudinally sectioned with wire saw; one half mounted in epoxy resin; examined by optical microscopy; analysed by JEOL JXA-8230 EMP for major elements before LA-ICP-MS</t>
  </si>
  <si>
    <t>Fragments ~1 cm mounted in epoxy, polished, cleaned with ultrapure water; mapping surface etched with freshly prepared Nital solution (2% v/v HNO₃ in 99.5% ethanol)</t>
  </si>
  <si>
    <t>Standard thin section preparation; two-volume cell with constant distance between laser ablation position and aerosol extraction</t>
  </si>
  <si>
    <t>Pre-Ablation Surface Treatment</t>
  </si>
  <si>
    <t>Protocol applied immediately before each analysis to remove surface contamination or condition the sample surface. Distinct from general sample preparation. For spot analysis, pre-ablation pulses are discarded before signal acquisition begins. For mapping, this step is typically omitted as the large area ablated averages out surface effects.</t>
  </si>
  <si>
    <t>e.g., '10 pre-ablation pulses discarded before acquisition (50 µm, 10 Hz, 2 J cm⁻²)' | '150 µm square spot, 2 J cm⁻², 20 Hz, 300 µm s⁻¹ pre-ablation pass (Chernonozhkin et al. 2021)' | 'None'</t>
  </si>
  <si>
    <t>150 µm square-masked spot pre-ablation before each trace element line scan (olivine): 2 J cm⁻², 20 Hz, 300 µm s⁻¹ translation speed; pre-ablated material discarded (Section 2.2.3); no pre-ablation described for mapping or phosphate spot analyses</t>
  </si>
  <si>
    <t>3–5 pre-ablation pulses at same settings, discarded before acquisition</t>
  </si>
  <si>
    <t>3. Instrument &amp; Software</t>
  </si>
  <si>
    <t>Laser Manufacturer &amp; Model</t>
  </si>
  <si>
    <t>Manufacturer and model of the laser ablation system.</t>
  </si>
  <si>
    <t>e.g., 'ESI/NWR imageGEO193' | 'Coherent GeoLas HD' | 'Teledyne Analyte Excite 193' | 'Teledyne Analyte G2'</t>
  </si>
  <si>
    <t>New Wave Research UP193FX (193 nm ArF excimer)</t>
  </si>
  <si>
    <t>Teledyne Photon Machines Analyte G2 (193 nm ArF excimer)</t>
  </si>
  <si>
    <t>Jupiter Solid Nebulizer fs laser (260 nm, Ti:sapphire-based femtosecond system)</t>
  </si>
  <si>
    <t>New Wave Research UP-193 (193 nm ArF excimer)</t>
  </si>
  <si>
    <t>IFRIT (Cyber Laser Inc.) Ti:sapphire femtosecond laser system</t>
  </si>
  <si>
    <t>Teledyne Photon Machines Iridia (193 nm ArF excimer) with Cobalt™ ablation chamber and low-dispersion tube-type cell (ARIS)</t>
  </si>
  <si>
    <t>High-repetition-rate GenesisGEO femtosecond laser (343 nm)</t>
  </si>
  <si>
    <t>Cetac Analyte HE (193 nm ArF excimer, Resonetic 193 nm ArF excimer at both institutes)</t>
  </si>
  <si>
    <t>Teledyne Excite 193 nm (ArF excimer) with HelEx II two-volume cell</t>
  </si>
  <si>
    <t>NWR FemtoUC femtosecond system (New Wave Research); 300 fs Yb:KGW laser amplifier (PHAROS, Light Conversion Ltd.)</t>
  </si>
  <si>
    <t>ICP-MS Manufacturer &amp; Model</t>
  </si>
  <si>
    <t>Manufacturer and model of the ICP-MS instrument.</t>
  </si>
  <si>
    <t>e.g., 'Thermo Scientific iCAP TQ' | 'Agilent 7900' | 'Thermo Scientific Element XR' | 'TOFWERK icpTOF'</t>
  </si>
  <si>
    <t>Thermo Scientific Element XR (single-collector sector-field)</t>
  </si>
  <si>
    <t>Thermo Scientific iCAP TQ (triple-quadrupole ICP-MS/MS)</t>
  </si>
  <si>
    <t>Thermo Scientific X-series 2 (quadrupole)</t>
  </si>
  <si>
    <t>TOFWERK icpTOF 2R (time-of-flight ICP-MS)</t>
  </si>
  <si>
    <t>Agilent 8900 (quadrupole ICP-MS)</t>
  </si>
  <si>
    <t>Agilent 7900 (quadrupole ICP-MS) at both institutes</t>
  </si>
  <si>
    <t>Thermo Scientific Element XR (single-collector sector-field ICP-MS)</t>
  </si>
  <si>
    <t>Thermo Scientific NEPTUNE Plus (multi-collector sector-field ICP-MS)</t>
  </si>
  <si>
    <t>ICP-MS Type</t>
  </si>
  <si>
    <t>Type of ICP-MS mass analyser and collector configuration.</t>
  </si>
  <si>
    <t>Single-collector quadrupole (Q-ICP-MS) | Single-collector sector-field (SF-ICP-MS) | Multi-collector sector-field (MC-ICP-MS) | Time-of-flight (ICP-ToF-MS) | Triple quadrupole (ICP-MS/MS) | Other: specify</t>
  </si>
  <si>
    <t>Single-collector sector-field (SF-ICP-MS)</t>
  </si>
  <si>
    <t>Triple-quadrupole (ICP-MS/MS); MS/MS mode used for Rb/Sr separation</t>
  </si>
  <si>
    <t>Single-collector quadrupole (Q-ICP-MS)</t>
  </si>
  <si>
    <t>Time-of-flight (TOF-ICP-MS); detects m/z 23–238 quasi-simultaneously in 46 µs base integration time</t>
  </si>
  <si>
    <t>Single-collector sector-field (SF-ICP-MS); low-resolution mode (m/Δm ~300)</t>
  </si>
  <si>
    <t>Multi-collector sector-field (MC-ICP-MS); 9 Faraday cups + 7 electron multiplier ICs</t>
  </si>
  <si>
    <t>Interface Cone Configuration</t>
  </si>
  <si>
    <t>Combination of sample cone and skimmer cone installed during analysis.</t>
  </si>
  <si>
    <t>e.g., 'Ni standard sample cone + Ni H-type skimmer' | 'Al standard sample cone + Al H-type skimmer (1.1 mm aperture)' | 'Pt sample cone + Pt skimmer'</t>
  </si>
  <si>
    <t>Al sampling cone, 1.1 mm aperture diameter; Al H-type skimmer cone, 0.8 mm aperture diameter (all analytical modes: mapping, spot, phosphate — Table B1)</t>
  </si>
  <si>
    <t>Ni sampler cone (standard) + Ni micro-skimmer cone (Xs model) — Table 1</t>
  </si>
  <si>
    <t>Ni sampler + Ni skimmer cones (standard configuration, low resolution)</t>
  </si>
  <si>
    <t>X skimmer cone + Jet sample cone (high-sensitivity configuration)</t>
  </si>
  <si>
    <t>Guard Electrode</t>
  </si>
  <si>
    <t>Whether the guard electrode (also called extraction lens or Fassel torch shield) was active during analysis.</t>
  </si>
  <si>
    <t>On | Off | Not applicable (instrument does not have guard electrode)</t>
  </si>
  <si>
    <t>On (guard electrode active during analysis)</t>
  </si>
  <si>
    <t>Mass Resolution Setting</t>
  </si>
  <si>
    <t>Operating mass resolution of the mass analyser. For quadrupole instruments this is fixed at unit resolution by instrument design. For sector-field instruments the analyst selects low, medium, or high resolution to balance sensitivity against spectral interference suppression.</t>
  </si>
  <si>
    <t>e.g., Unit resolution — quadrupole (fixed) | Low resolution — SF (~300 m/Δm) | Medium resolution — SF (~3000 m/Δm) | High resolution — SF (~10000 m/Δm) | Other: specify</t>
  </si>
  <si>
    <t>Low resolution (LR, m/Δm ~300) for most isotopes; medium resolution (MR, m/Δm ~4000) for Fe, Ni</t>
  </si>
  <si>
    <t>Low resolution for most elements; medium resolution for Fe and Ni isotopes</t>
  </si>
  <si>
    <t>Medium resolution (MR, m/Δm ~4000) for all measurements</t>
  </si>
  <si>
    <t>N/A — TOF instrument; inherently low resolution (~300–400 m/Δm) but simultaneous full spectrum acquisition</t>
  </si>
  <si>
    <t>Low resolution (m/Δm ~300, E-scan mode)</t>
  </si>
  <si>
    <t>Low mass resolution mode (~400)</t>
  </si>
  <si>
    <t>Detector Configuration</t>
  </si>
  <si>
    <t>Type(s) of detector(s) installed in the mass spectrometer. For single-collector instruments, note whether dual pulse-counting/analog mode is used. For multi-collector instruments, describe the Faraday/multiplier cup layout.</t>
  </si>
  <si>
    <t>e.g., 'Single SEM, dual mode (pulse counting and analog)' | 'Single SEM in triple mode (pulse, analog, Faraday)' | 'Nine Faraday cups + one ion counter (MC)'</t>
  </si>
  <si>
    <t>Single SEM in triple mode (pulse counting, analog, Faraday)</t>
  </si>
  <si>
    <t>Single secondary electron multiplier; SQ KED mode using He collision gas (4 ml/min) to reduce polyatomic interferences</t>
  </si>
  <si>
    <t>TOF detector; base integration time 46 µs per full spectrum; at least 60 spectra aggregated per readout (effectively 300 Hz); notch-filter quadrupole attenuates ³⁶Ar⁺, ⁴⁰Ar⁺, ⁴⁰ArH⁺, ⁴⁰Ar⁴⁰Ar⁺ to avoid detector saturation</t>
  </si>
  <si>
    <t>Dual mode (30 ms / 10 ms dwell time per isotope; detector mode: Dual)</t>
  </si>
  <si>
    <t>Triple mode electron multiplier detection (pulse counting, analog, Faraday)</t>
  </si>
  <si>
    <t>Seven fixed electron multiplier ICs + nine Faraday cups with 10¹¹ Ω resistors; cup configuration L4(⁸³Kr)–L3(¹⁶⁷Er²⁺)–L2(⁸⁴Sr)–L1(⁸⁵Rb)–C(⁸⁶Sr)–H1(¹⁷³Yb²⁺)–H2(⁸⁷Sr)–H3(⁸⁸Sr)</t>
  </si>
  <si>
    <t>Laser Wavelength and Type</t>
  </si>
  <si>
    <t>Wavelength and type of the laser used for ablation in nanometres.</t>
  </si>
  <si>
    <t>e.g., '193 nm ArF excimer' | '213 nm Nd:YAG frequency-quintupled' | '257 nm Yb:KGW femtosecond' | '1030 nm Yb:KGW IR femtosecond'</t>
  </si>
  <si>
    <t>193 nm (ArF excimer)</t>
  </si>
  <si>
    <t>260 nm (Ti:sapphire fs, frequency-doubled)</t>
  </si>
  <si>
    <t>343 nm (high-repetition-rate fs laser, frequency-tripled Yb:YAG)</t>
  </si>
  <si>
    <t>193 nm (ArF excimer, Resonetic system)</t>
  </si>
  <si>
    <t>257 nm (Yb:KGW fs, 300 fs pulse, frequency-doubled)</t>
  </si>
  <si>
    <t>Acquisition Software</t>
  </si>
  <si>
    <t>Instrument control and data acquisition software used to collect raw signal data, including version number. Separate from data reduction software.</t>
  </si>
  <si>
    <t>e.g., 'Thermo Qtegra 2.10.3324' | 'Agilent MassHunter Workstation 4.6' | 'Thermo PlasmaLab 2.5.4'</t>
  </si>
  <si>
    <t>Tofpilot v2.8 (TOFWERK) — used for mass calibration, baseline modelling/subtraction, peak integration, and integration of mass spectra per laser shot/pixel</t>
  </si>
  <si>
    <t>Data Reduction Software</t>
  </si>
  <si>
    <t>Software used for signal processing, background subtraction, and concentration calculation, including version number.</t>
  </si>
  <si>
    <t>e.g., 'Iolite 4.7 (Paton et al. 2011)' | 'GLITTER 4.4' | 'SILLS 1.1.5 (Guillong et al. 2008)' | 'LAtools' | 'In-house MatLab script'</t>
  </si>
  <si>
    <t>In-house LabVIEW-based software for signal processing; isotope fractionation corrections applied manually</t>
  </si>
  <si>
    <t>iQuant 2+ image processing software (Suzuki et al. 2018, Mass Spectrometry 7: A0065) for 2D color map generation from line-scan data</t>
  </si>
  <si>
    <t>In-house spreadsheet (Mittlefehldt lab protocol; details not given)</t>
  </si>
  <si>
    <t>HDIP software (Teledyne Photon Machines) — LoD calculation, external calibration, oxide-sum normalization, VOI selection (k-means clustering or manual), integration and elemental map export</t>
  </si>
  <si>
    <t>Iolite4 (version not specified; references Paul et al. 2023 and Paton et al. 2011)</t>
  </si>
  <si>
    <t>Iolite v4.5.7 with 3D Trace Elements DRS (Paul et al. 2023, doi:10.1039/2023JAAS)</t>
  </si>
  <si>
    <t>ISO-Compass software (Zhang et al. 2020, doi:10.1039/D0JA00084A)</t>
  </si>
  <si>
    <t>Ablation Cell Type</t>
  </si>
  <si>
    <t>Type and model of ablation cell used.</t>
  </si>
  <si>
    <t>e.g., 'Two-volume HelEx II (Müller et al. 2009)' | 'HDIP low-dispersion tube-type cell' | 'Single-volume standard cell' | 'ARIS (Aerosol Rapid Introduction System)'</t>
  </si>
  <si>
    <t>HelEx two-volume ablation cell (Teledyne Photon Machines)</t>
  </si>
  <si>
    <t>Cobalt™ ablation chamber + low-dispersion tube-type ablation cell (Teledyne Photon Machines); aerosol pulse response &lt;1 ms (full width at 1% max); connected via ARIS (aerosol rapid introduction system)</t>
  </si>
  <si>
    <t>HelEx II two-volume ablation cell (Teledyne Photon Machines)</t>
  </si>
  <si>
    <t>Two-volume cell with constant distance between laser ablation position and aerosol extraction; He carrier gas</t>
  </si>
  <si>
    <t>4. Measurement Information</t>
  </si>
  <si>
    <t>Default Laser Spot Geometry</t>
  </si>
  <si>
    <t>Default shape and dimensions of the laser ablation spot in micrometres. For circular spots, report diameter. For square or rectangular spots, report width × length. Analysts may adjust spot size within protocol-allowed range; actual spot sizes used should be reported at the analysis level.</t>
  </si>
  <si>
    <t>e.g., '25 µm circular' | '20×20 µm square' | '15 or 25 µm circular (phase-dependent)'</t>
  </si>
  <si>
    <t>50 µm (circular; also 100 µm for some rasters)</t>
  </si>
  <si>
    <t>20×20 µm square (mapping); 30 µm or 130 µm circular (spot analysis)</t>
  </si>
  <si>
    <t>10 µm circular</t>
  </si>
  <si>
    <t>75 µm circular</t>
  </si>
  <si>
    <t>30 µm circular</t>
  </si>
  <si>
    <t>2 µm ∅ circular, 3 µm ∅ circular, or 5×5 µm square (depending on session)</t>
  </si>
  <si>
    <t>100×100 µm square (ablation spot size = 100 µm diameter stated in text; ≈100 µm spot at 1 Hz)</t>
  </si>
  <si>
    <t>40 µm circular (glasses); 20 µm circular (sulfides, grain size &gt;20 µm selected)</t>
  </si>
  <si>
    <t>150 µm circular (spot analysis and mapping)</t>
  </si>
  <si>
    <t>50–60 µm circular</t>
  </si>
  <si>
    <t>Laser Spot Path / Ablation Mode</t>
  </si>
  <si>
    <t>Sampling mode or ablation pattern used during analysis.</t>
  </si>
  <si>
    <t>Spot (stationary) | Transect (continuous line scan) | Raster area (2D elemental mapping) | Stepped line profile | Other: specify</t>
  </si>
  <si>
    <t>Raster (continuous scan over defined area)</t>
  </si>
  <si>
    <t>Raster area (2D mapping); spot (stationary) for phosphate point analyses</t>
  </si>
  <si>
    <t>Raster area (2D imaging); continuous scan over CAI area</t>
  </si>
  <si>
    <t>Spot (stationary)</t>
  </si>
  <si>
    <t>Raster area (2D elemental mapping); each laser shot = single pixel</t>
  </si>
  <si>
    <t>Spot (stationary single spot, 1 Hz, 45 s ablation after 25 s gas blank; 25 s washout between analyses)</t>
  </si>
  <si>
    <t>Spot (stationary); time-resolved signals used to identify micronuggets</t>
  </si>
  <si>
    <t>Spot (stationary, 150 µm); raster (10 µm/s continuous scan, 150 µm² square spot, 10 Hz) for elemental mapping</t>
  </si>
  <si>
    <t>Line scan (transect mode; scan speed 2–6 µm/s)</t>
  </si>
  <si>
    <t>Laser Energy</t>
  </si>
  <si>
    <t>Laser pulse energy in millijoules as set at the laser output or measured at the sample surface. Less commonly reported than fluence because it does not account for spot area. Report only when the system displays energy directly. Laser fluence (J cm⁻²) is the preferred quantity and is captured in Default Laser Fluence.</t>
  </si>
  <si>
    <t>Numeric (mJ)</t>
  </si>
  <si>
    <t>e.g., 0.001 mJ | 3.5 mJ</t>
  </si>
  <si>
    <t>Default Laser Fluence (Energy Density)</t>
  </si>
  <si>
    <t>Laser pulse energy per unit area at the sample surface in J cm⁻². Fluence is the physically meaningful quantity controlling ablation rate, crater morphology, elemental fractionation, and particle size distribution. If the system reports only as % of maximum output, include that value and note the system maximum where known.</t>
  </si>
  <si>
    <t>Numeric (J cm⁻²)</t>
  </si>
  <si>
    <t>e.g., '3.5 J cm⁻²' | '7 J cm⁻²' | '60% output (PHAROS system, max ~15 J cm⁻²)'</t>
  </si>
  <si>
    <t>3 J cm⁻² (mapping); 5–8 J cm⁻² (spot analysis for phosphate)</t>
  </si>
  <si>
    <t>~3 J cm⁻² (femtosecond fs ablation)</t>
  </si>
  <si>
    <t>12 J cm⁻²</t>
  </si>
  <si>
    <t>2 J cm⁻²</t>
  </si>
  <si>
    <t>6.79 J cm⁻²</t>
  </si>
  <si>
    <t>~2.5 J cm⁻² (Cetac Analyte HE; stated as 'energy of ~2.5 J/cm²')</t>
  </si>
  <si>
    <t>7 J cm⁻²</t>
  </si>
  <si>
    <t>60% energy density (exact J cm⁻² not converted; ~60% of maximum output for PHAROS system)</t>
  </si>
  <si>
    <t>Laser Beam Energy Profile</t>
  </si>
  <si>
    <t>Spatial energy distribution of the laser beam at the sample surface, and whether a beam homogenizer is installed. A flat-top (top-hat) profile produces more uniform ablation craters and more reproducible crater morphology than a Gaussian beam. This is a fixed hardware property of the laser system.</t>
  </si>
  <si>
    <t>Flat-top (top-hat) — beam homogenizer installed | Gaussian — no beam homogenizer | Not stated</t>
  </si>
  <si>
    <t>Flat-top (top-hat) energy profile — explicitly stated: "The laser beam is characterized by a flat-topped energy profile and was attenuated to an energy density of 5–7 J cm⁻² in the focus" — Section 2.2.2</t>
  </si>
  <si>
    <t>Default Laser Repetition Rate</t>
  </si>
  <si>
    <t>Default laser pulse repetition rate in hertz. For mapping methods, repetition rate together with scan speed and spot size determines pixel size and spatial resolution. Analysts may adjust within protocol-allowed bounds.</t>
  </si>
  <si>
    <t>Numeric (Hz)</t>
  </si>
  <si>
    <t>e.g., 5 | 10 | 20 | 100</t>
  </si>
  <si>
    <t>50 Hz (raster scan); 50 Hz (spot analyses for Ge)</t>
  </si>
  <si>
    <t>20 Hz (mapping, 20×20 µm square spot); 20 Hz (olivine major element run, 30 µm spot); 40 Hz (olivine trace element run, 130 µm spot); 20 Hz (phosphate spot analysis, 110 µm spot) — Table B1</t>
  </si>
  <si>
    <t>10 Hz</t>
  </si>
  <si>
    <t>20 Hz</t>
  </si>
  <si>
    <t>100–300 Hz (pixel acquisition rate dependent on mapping speed; each laser pulse triggered mass spectrometer individually)</t>
  </si>
  <si>
    <t>1 Hz (single spot mode)</t>
  </si>
  <si>
    <t>7 Hz</t>
  </si>
  <si>
    <t>10–30 Hz</t>
  </si>
  <si>
    <t>Laser Pulse Duration</t>
  </si>
  <si>
    <t>Duration of each individual laser pulse, including units. Pulse duration determines the ablation regime: nanosecond (ns) pulses involve significant thermal effects and elemental fractionation; femtosecond (fs) pulses are non-thermal and substantially reduce elemental fractionation and matrix effects. This is a fixed hardware property of the laser system.</t>
  </si>
  <si>
    <t>e.g., '4 ns (ArF excimer)' | '20 ns' | '290 fs (Yb:KGW)' | '220 fs (Ti:sapphire)'</t>
  </si>
  <si>
    <t>4 ns (specified for Analyte G2 ArF excimer)</t>
  </si>
  <si>
    <t>290 fs (Yb:KGW femtosecond laser, Jupiter Solid Nebulizer, S.T. Japan Inc.)</t>
  </si>
  <si>
    <t>~220 fs (Ti:sapphire IFRIT system, Cyber Laser)</t>
  </si>
  <si>
    <t>N (ns excimer; pulse duration not stated for Iridia system)</t>
  </si>
  <si>
    <t>Femtosecond (exact value not stated; GenesisGEO fs laser)</t>
  </si>
  <si>
    <t>4 ns (excimer pulse width, Excite 193)</t>
  </si>
  <si>
    <t>300 fs (Yb:KGW PHAROS femtosecond amplifier)</t>
  </si>
  <si>
    <t>Ablation Duration per Spot</t>
  </si>
  <si>
    <t>Total on-sample ablation (signal acquisition) time per individual spot in seconds, as set in the acquisition method. This is a protocol-level parameter for spot analysis: it reflects the deliberate trade-off between signal accumulation (longer = lower LOD), sample consumption, and session throughput. For transect analysis, the equivalent protocol-level parameter is scan speed (captured in Transect Rate, Mapping Rate or Step Size). For mapping analysis, total acquisition time is sample-area-dependent and therefore analysis-level, not captured here.</t>
  </si>
  <si>
    <t>Numeric (s)</t>
  </si>
  <si>
    <t>e.g., 40 s | 60 s | 90 s</t>
  </si>
  <si>
    <t>20 s (spot analyses for Ge at 50 Hz); raster scan duration varies with area</t>
  </si>
  <si>
    <t>Mapping: 98 runs/passes adjusted to time for ablating 1450 µm line (duty cycle 1.944 s); Olivine spot (runs 1 and 2): 34 runs/passes = 10 s blank + 50 s ablation + 11 s washout; Phosphate: 25 runs/passes = 15 s blank + 20 s spot ablation + 10 s washout — Table B1</t>
  </si>
  <si>
    <t>Continuous raster scan; areas 200×200 to 300×300 µm² ablated in 30–60 min per area; scan speed 2 µm/s; washout time ~3 s (signal decays 2 orders of magnitude)</t>
  </si>
  <si>
    <t>0.3–30 mm² h⁻¹ mapping rate; each map corresponds to thousands of pixels (each pixel = one laser shot); total session time several hours per sample</t>
  </si>
  <si>
    <t>45 s ablation (after 25 s gas blank; 25 s washout between analyses)</t>
  </si>
  <si>
    <t>On-sample time: ~40 s (inferred from typical 40 s ablation + 20 s background protocol for CetacAnalyte HE)</t>
  </si>
  <si>
    <t>40 s on-sample ablation (after 20 s blank measurement with laser shutter closed)</t>
  </si>
  <si>
    <t>90 cycles × 0.524 s integration = 47 s total; first 30 cycles for background (15.7 s); 60–70 cycles used for signal (31–37 s)</t>
  </si>
  <si>
    <t>Transect Rate, Mapping Rate or Step Size</t>
  </si>
  <si>
    <t>For continuous line scan (transect) and raster mapping: the stage translation speed in µm s⁻¹. This is the protocol-level parameter that, together with spot size and repetition rate, determines spatial resolution along the scan direction. For mapping, the mapping rate (mm² h⁻¹) may be reported as an alternative when scan speed is session-variable. For stepped line profiles: the distance between successive spot positions in µm.</t>
  </si>
  <si>
    <t>e.g., '5 µm s⁻¹ (transect)' | '9 µm s⁻¹ (raster mapping, 20×20 µm spot, 20 Hz)' | '20 µm step size' | '0.3–30 mm² h⁻¹ (mapping rate range)'</t>
  </si>
  <si>
    <t>10 µm s⁻¹ continuous scan</t>
  </si>
  <si>
    <t>9 µm s⁻¹ (mapping, 20×20 µm square spot); 10 µm s⁻¹ (olivine line scans for spot analysis, runs 1 and 2); spot analysis mode for phosphate (no translation) — Table B1 and Section 2.2.2</t>
  </si>
  <si>
    <t>2 µm s⁻¹ continuous scan</t>
  </si>
  <si>
    <t>N/A — spot mode only</t>
  </si>
  <si>
    <t>Scanning speed varied to achieve 0.3–30 mm² h⁻¹; pixel acquisition rate 100–300 pixels s⁻¹</t>
  </si>
  <si>
    <t>N/A — single spot mode</t>
  </si>
  <si>
    <t>10 µm s⁻¹ (mapping scan speed); N/A for spot mode</t>
  </si>
  <si>
    <t>2–6 µm s⁻¹ scan speed</t>
  </si>
  <si>
    <t>Raster Line Spacing (Mapping Only)</t>
  </si>
  <si>
    <t>Distance between adjacent raster lines in a 2D elemental map, measured perpendicular to the scan direction, in micrometres. Together with spot size, this determines whether adjacent lines are contiguous (line spacing = spot size), overlapping (line spacing &lt; spot size), or have gaps (line spacing &gt; spot size). Applies to raster mapping only.</t>
  </si>
  <si>
    <t>20 µm (contiguous, equal to spot size) | 15 µm pitch with 5 µm gap between lines | N/A (spot or line-scan mode)</t>
  </si>
  <si>
    <t>20 µm (contiguous; 20×20 µm square spot scanned in adjacent parallel lines with no stated gap — implies line spacing equals spot width) — Section 2.2.2 and Fig. B1</t>
  </si>
  <si>
    <t>15 µm line pitch; 5 µm gaps between ablated lines; gaps smoothed by averaging both neighboring scan lines; effective spatial resolution 10 µm (scan direction) × 15 µm (perpendicular) — "Spatial Resolution" section</t>
  </si>
  <si>
    <t>Carrier Gas and Default Flow Rate</t>
  </si>
  <si>
    <t>Gas used to transport ablated aerosol from the ablation cell to the ICP-MS torch, with target flow rate(s). Helium is standard for most UV laser systems due to superior aerosol transport. Flow rates are protocol targets; actual session values may be adjusted within ±10% during tuning.</t>
  </si>
  <si>
    <t>e.g., 'He, 0.75 l min⁻¹' | 'He: MFC-1 (cell) 0.60 l min⁻¹ + MFC-2 (cup) 0.35 l min⁻¹'</t>
  </si>
  <si>
    <t>He (carrier gas stated; flow rate not specified)</t>
  </si>
  <si>
    <t>He carrier gas: MFC-1 (cell) 0.200–0.260 l min⁻¹, MFC-2 (cup) 0.220–0.385 l min⁻¹ (mapping); MFC-1 0.19 l min⁻¹, MFC-2 0.22 l min⁻¹ (olivine spot runs 1 and 2); MFC-1 0.270 l min⁻¹, MFC-2 0.250 l min⁻¹ (phosphate) — Table B1</t>
  </si>
  <si>
    <t>He carrier gas, 0.6 L min⁻¹</t>
  </si>
  <si>
    <t>He carrier gas, 0.6 L min⁻¹ (Table 1)</t>
  </si>
  <si>
    <t>He (carrier through low-dispersion tube-type cell; flow rate and ARIS conditions tuned daily)</t>
  </si>
  <si>
    <t>He, 0.7 L min⁻¹ (chamber) + 0.1 L min⁻¹ (cup gas)</t>
  </si>
  <si>
    <t>He (flow rate not stated; stated as carrier gas with N₂ or Ar mixed for sensitivity optimization)</t>
  </si>
  <si>
    <t>He, 0.6 L min⁻¹ (MFC 1) + 0.7 L min⁻¹ (MFC 2) in two-volume HelEx II cell; combined with Ar makeup gas via T-piece near torch</t>
  </si>
  <si>
    <t>He, 0.90 L min⁻¹ (carrier gas flow to two-volume cell)</t>
  </si>
  <si>
    <t>Default Plasma / Make-up Gas Addition</t>
  </si>
  <si>
    <t>Additional gas(es) mixed into the carrier stream downstream of the ablation cell, with target flow rate. Ar make-up gas is standard. Small N₂ additions can enhance sensitivity for some elements. If N₂ is not added, state "None" explicitly to distinguish from not reported.</t>
  </si>
  <si>
    <t>e.g., 'Ar make-up gas, 0.95 l min⁻¹' | 'Ar make-up 0.80 l min⁻¹ + N₂ 2 ml min⁻¹ (sensitivity enhancement)' | 'None (no N₂ added)'</t>
  </si>
  <si>
    <t>Ar make-up gas: 0.81–0.99 l min⁻¹ (mapping); 0.947 l min⁻¹ (olivine spot runs 1 and 2); 0.96 l min⁻¹ (phosphate) — Table B1; Note: "No N₂ was blent into ICP to avoid elevated nitrogen-based spectral interferences" (Appendix B footnote)</t>
  </si>
  <si>
    <t>Ar make-up gas, 1.0 L min⁻¹ (added outside ablation cell)</t>
  </si>
  <si>
    <t>Ar makeup, ~0.9 L min⁻¹ (inferred from Element XR standard settings)</t>
  </si>
  <si>
    <t>Ar make-up gas, 0.9–1.2 L min⁻¹; Ar auxiliary gas, 0.6–1.2 L min⁻¹; Ar plasma gas, 16 L min⁻¹ (Table 1)</t>
  </si>
  <si>
    <t>N₂ or Ar mixed into carrier gas for sensitivity optimization (exact addition not quantified)</t>
  </si>
  <si>
    <t>Ar makeup gas (combined via T-piece in sample transport line near torch)</t>
  </si>
  <si>
    <t>Ar (makeup); N₂ added via Y connector downstream of signal-smoothing device, 12 ml min⁻¹</t>
  </si>
  <si>
    <t>Default Auxiliary and Cool Gas Flow Rates</t>
  </si>
  <si>
    <t>ICP auxiliary (intermediate) and cool (outer/plasma) Ar gas flow rates in l min⁻¹. These are protocol targets; values may be adjusted slightly per session during tuning.</t>
  </si>
  <si>
    <t>e.g., 'Cool gas: 15 l min⁻¹ Ar; Auxiliary gas: 0.80 l min⁻¹ Ar' | 'Cool: 16 l min⁻¹; Auxiliary: 1.5 l min⁻¹'</t>
  </si>
  <si>
    <t>Cool gas (Ar): 15 l min⁻¹ (all analytical modes); Auxiliary gas (Ar): 0.81 l min⁻¹ (mapping); 0.90 l min⁻¹ (olivine spot runs 1 and 2); 0.85 l min⁻¹ (phosphate) — Table B1</t>
  </si>
  <si>
    <t>Cool: ~15 L min⁻¹ Ar; Auxiliary: ~0.9 L min⁻¹ Ar (inferred from typical Element XR settings, not explicitly stated)</t>
  </si>
  <si>
    <t>Cool gas: 12–13 L min⁻¹ Ar; Auxiliary gas: 0.6–1.2 L min⁻¹ Ar; Make-up gas: 0.9–1.2 L min⁻¹ Ar (Table 1)</t>
  </si>
  <si>
    <t>Plasma gas: 16 L min⁻¹; Auxiliary gas: 0.9 L min⁻¹; Nebulizer gas: 1.1 L min⁻¹</t>
  </si>
  <si>
    <t>Cool gas: 16.0 L min⁻¹; Auxiliary gas: 0.80 L min⁻¹</t>
  </si>
  <si>
    <t>RF Power</t>
  </si>
  <si>
    <t>ICP radiofrequency forward power in watts. Fixed in the protocol; cannot be changed by analysts without defining a new protocol, because RF power affects plasma temperature, ionisation efficiency, oxide formation, and whether cool or normal plasma conditions are in effect.</t>
  </si>
  <si>
    <t>Numeric (W)</t>
  </si>
  <si>
    <t>800 W (cool plasma, mapping mode); 1000 W (olivine spot runs 1 and 2; phosphate spot analysis) — Table B1</t>
  </si>
  <si>
    <t>1550 W</t>
  </si>
  <si>
    <t>1400 W</t>
  </si>
  <si>
    <t>N (RF power not explicitly stated for Agilent 7900; standard conditions implied)</t>
  </si>
  <si>
    <t>1200 W</t>
  </si>
  <si>
    <t>1250 W</t>
  </si>
  <si>
    <t>Plasma Thermal Mode</t>
  </si>
  <si>
    <t>Whether the ICP plasma is operated under cool plasma (≤900 W RF) or normal (hot) plasma (&gt;1000 W RF) conditions. Cool plasma substantially reduces argide-based polyatomic interferences (e.g., ⁴⁰Ar on ⁴⁰Ca, ⁴⁰Ar⁴⁰Ar on ⁸⁰Se). This is a fundamental method design choice that determines which interference corrections are necessary and should be documented independently of the RF Power field.</t>
  </si>
  <si>
    <t>Normal plasma (&gt;1000 W RF) | Cool plasma (≤900 W RF) | Mixed: specify mode per analytical sub-run</t>
  </si>
  <si>
    <t>Mixed: cool plasma (800 W RF) for 2D mapping to reduce Ar-based interferences (⁶⁰Ni and ⁷¹Ga specifically cited); normal plasma (1000 W RF) for olivine spot runs 1 and 2 and phosphate spot analysis — Table B1 (Appendix B) and Section 2.2.2</t>
  </si>
  <si>
    <t>Normal plasma (1550 W RF power) — Table 2</t>
  </si>
  <si>
    <t>Normal plasma (1400 W RF power / "plasma power") — Table 1</t>
  </si>
  <si>
    <t>Normal plasma (1550 W RF power) — Table 1</t>
  </si>
  <si>
    <t>Normal plasma (1200 W RF power) — instrument parameters table in paper</t>
  </si>
  <si>
    <t>Normal plasma (1250 W RF power) — Table 1</t>
  </si>
  <si>
    <t>Signal Smoothing</t>
  </si>
  <si>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</si>
  <si>
    <t>e.g., 'Squid 2.0 (laurin technik)' | 'ARIS (Aerosol Rapid Introduction System)' | 'None'</t>
  </si>
  <si>
    <t>ARIS (Aerosol Rapid Introduction System, Teledyne Photon Machines) — low-dispersion tube-type cell minimizes aerosol dispersion; pulse response &lt;1 ms at &lt;1% baseline; trigger delay to mass spectrometer tuned daily</t>
  </si>
  <si>
    <t>Signal-smoothing device used downstream from ablation cell (reference: Hu et al. 2015, Anal. Chem. 87:1152–1157); significantly reduces short-term signal variability</t>
  </si>
  <si>
    <t>ICP Tuning</t>
  </si>
  <si>
    <t>Description of the approach used to optimise ICP plasma conditions prior to analysis, including the reference material used for tuning and the acceptance criteria (e.g., oxide production threshold, sensitivity targets, mass calibration).</t>
  </si>
  <si>
    <t>e.g., 'Daily auto-tune on NIST SRM 612; optimised for max sensitivity on ¹³⁹La and ²³²Th with ThO⁺/Th⁺ &lt;0.5% and U/Th = 1.0 ± 0.05'</t>
  </si>
  <si>
    <t>Gas flows optimized via spot ablation of NIST SRM 612; maximum signal intensities targeted while maintaining ThO/Th &lt;0.3% and U/Th at 0.95–1.05; details in Table 1</t>
  </si>
  <si>
    <t>ICP and laser settings optimized daily to achieve optimum signal intensity and low oxide formation per factory specifications; mass calibration and detector cross-calibration checked and redone if required</t>
  </si>
  <si>
    <t>NIST 610 used to optimize instrumental parameters including He and Ar gas flow rates, torch position, RF power, and source lens settings for maximum sensitivity and optimum peak flatness</t>
  </si>
  <si>
    <t>Oxide Production Method and Threshold</t>
  </si>
  <si>
    <t>Method used to quantify plasma oxide production and the acceptance threshold applied before commencing analysis. The ThO⁺/Th⁺ ratio (mass 248/232) is most widely used, but UO⁺/U⁺ (mass 254/238) or CeO⁺/Ce⁺ (mass 156/140) may also be used. Report both the measurement method (which oxide proxy) and the threshold value.</t>
  </si>
  <si>
    <t>e.g., 'ThO⁺/Th⁺ (248/232) &lt;0.5%' | 'ThO⁺/Th⁺ &lt;0.3%; UO⁺/U⁺ monitored at 0.95–1.05' | 'CeO⁺/Ce⁺ &lt;1.0%'</t>
  </si>
  <si>
    <t>ThO⁺/Th⁺ &lt;1% (optimized during tuning; monitored as condition for gas flow optimization)</t>
  </si>
  <si>
    <t>ThO/Th &lt;0.3%; U/Th monitored at 0.95–1.05 (as part of tuning criteria on NIST SRM 612)</t>
  </si>
  <si>
    <t>Oxide Production</t>
  </si>
  <si>
    <t>Actual oxide production ratio measured during this analytical session, using the method specified in the protocol-level field "Oxide Production Method and Threshold". Report the measured value and confirm it met the protocol threshold.</t>
  </si>
  <si>
    <t>e.g., 'ThO⁺/Th⁺ = 0.3% (threshold &lt;0.5% met)' | 'ThO⁺/Th⁺ = 0.08%' | 'CeO⁺/Ce⁺ = 0.7% (threshold &lt;1.0% met)'</t>
  </si>
  <si>
    <t>Instrument Warm-up / Session Duration Limit</t>
  </si>
  <si>
    <t>Minimum warm-up time required after plasma ignition before analyses begin, and any maximum session duration enforced to maintain stable operating conditions. These constraints are part of the protocol and cannot be varied by the analyst.</t>
  </si>
  <si>
    <t>e.g., '≥30 min warm-up after sample change; sessions ≤8 h after tuning' | '3–4 h warm-up; no session duration limit'</t>
  </si>
  <si>
    <t>Drift Monitor Frequency</t>
  </si>
  <si>
    <t>Frequency at which primary reference materials are analysed to monitor instrument drift and apply drift corrections across the session. Editable to allow analysts to increase monitoring frequency if drift is observed.</t>
  </si>
  <si>
    <t>e.g., 'Every 10 unknowns' | 'Start and end of session only' | 'Every 15–20 spot analyses; at start and end of each map for mapping'</t>
  </si>
  <si>
    <t>Reference materials measured at start and end of each session (10 adjacent line scans per GRM); 3–5 repetitions of each GRM before and after samples</t>
  </si>
  <si>
    <t>Each GRM analysed 3–5 times before and after sample analyses; BHVO-2G and StHs6/80-G designated as secondary QC materials measured in every session</t>
  </si>
  <si>
    <t>Analytical sequence started and finished with repeated measurements of NIST SRM 612 and North Chile, bracketing blocks of 10 unknowns; new calibration curves constructed daily</t>
  </si>
  <si>
    <t>Analysis Sequence</t>
  </si>
  <si>
    <t>Repeating order of primary calibration standard(s), quality control standard(s), and unknown analyses within a measurement session. Editable to allow minor adjustments while maintaining the bracketing strategy defined in the protocol.</t>
  </si>
  <si>
    <t>e.g., '1 primary std / 1 QC / 10 unknowns' | '2/4/15' | 'Calibration at start and end; unknowns in between'</t>
  </si>
  <si>
    <t>Standards at start and end of session; raster unknowns in between</t>
  </si>
  <si>
    <t>GRM (3–5×) → unknowns → GRM (3–5×) per session block; NIST SRM 612 used as primary calibration anchor</t>
  </si>
  <si>
    <t>Reference materials (NIST SRM 612 for REEs; augite, olivine, Cl-apatite, titanite for MEs) analyzed under same conditions; no formal bracketing sequence described</t>
  </si>
  <si>
    <t>IVB iron meteorite standards (Warburton Range as external; Tawallah Valley as secondary) measured alongside unknowns; formal bracketing interval not described</t>
  </si>
  <si>
    <t>(i) Gas blanks → (ii) all glass GRMs for external calibration → (iii) 1–3 cosmic spherule samples → (iv) blanks → (v) all glass GRMs again; each GRM analysed as 10-adjacent-line-scan map; 3–5 reps per GRM before and after samples</t>
  </si>
  <si>
    <t>Gas blank (25 s) → ablation (45 s) → washout (25 s); NIST 612 and 614 measured as external standards; BHVO-2 lithium borate glass as matrix-matched standard</t>
  </si>
  <si>
    <t>NIST 610 as primary standard; NIST 612 and BCR-2G as monitoring standards; unknowns bracketed by standards</t>
  </si>
  <si>
    <t>NIST SRM 612(×3) → North Chile(×3) → unknowns(×10) → NIST SRM 612(×2) → North Chile(×2) → unknowns(×10) → … repeat; background signal measured with shutter closed for 20 s before each analysis</t>
  </si>
  <si>
    <t>1 block of 120 cycles (0.524 s per cycle); first 30 cycles background (no laser); remaining 90 cycles signal; 60–70 cycles finally used; NIST 610 used for parameter optimization</t>
  </si>
  <si>
    <t>Target Analyte</t>
  </si>
  <si>
    <t>Range of isotopes this protocol is designed to measure. Defines the scope of the protocol and enables matching of protocols to analytical needs. Distinguished from Analyte (analysis-level field), which records the specific isotopes actually measured in a given session, which may be a subset of the target analytes.</t>
  </si>
  <si>
    <t>e.g., 'Major elements: ²⁵Mg, ²⁸Si, ⁴⁴Ca, ⁵⁷Fe; Trace elements: ⁴⁵Sc, ⁵¹V, ⁵³Cr ... ²³⁸U' | 'All REE: ¹³⁹La–¹⁷⁵Lu'</t>
  </si>
  <si>
    <t>Analyte specific</t>
  </si>
  <si>
    <t>⁵²Cr, ⁵⁷Fe, ⁵⁹Co, ⁶¹Ni, ⁶⁵Cu, ⁶⁹Ga, ⁷²Ge, ⁷⁵As, ⁹⁹Ru, ¹⁰³Rh, ¹⁰⁵Pd, ¹⁸²W, ¹⁸⁵Re, ¹⁸⁹Os, ¹⁹³Ir, ¹⁹⁵Pt, ¹⁹⁷Au</t>
  </si>
  <si>
    <t>Mapping (14 nuclides): ²⁵Mg, ²⁷Al, ²⁹Si, ³¹P, ⁴⁵Sc, ⁵¹V, ⁵³Cr, ⁵⁵Mn, ⁵⁷Fe, ⁶⁰Ni, ⁷¹Ga, ¹³⁹La, ¹⁵³Eu, ¹⁹⁵Pt; Olivine run 1 — major elements (7 nuclides): ²⁵Mg, ²⁹Si, ³¹P, ⁴⁴Ca, ⁵³Cr, ⁵⁵Mn, ⁵⁷Fe; Olivine run 2 — trace elements (36 nuclides): ⁷Li, ⁴⁵Sc, ⁵¹V, ⁵³Cr, ⁵⁹Co, ⁶⁰Ni, ⁶³Cu, ⁶⁶Zn, ⁸⁹Y, ⁹⁰Zr, ⁹³Nb, ¹³³Cs, ¹³⁷Ba, ¹³⁹La, ¹⁴⁰Ce, ¹⁴¹Pr, ¹⁴⁵Nd, ¹⁴⁷Sm, ¹⁵³Eu, ¹⁵⁸Gd, ¹⁵⁹Tb, ¹⁶⁴Dy, ¹⁶⁵Ho, ¹⁶⁰Er, ¹⁶⁹Tm, ¹⁷⁴Yb, ¹⁷⁵Lu, ¹⁸⁰Hf, ¹⁸¹Ta, ¹⁸²W, ¹⁸⁵Re, ¹⁹³Ir, ¹⁹⁵Pt, ¹⁹⁷Au, ²³²Th, ²³⁸U; Phosphate (43 nuclides): ²³Na, ²⁵Mg, ²⁷Al, ²⁹Si, ³¹P, ³⁹K, ⁴⁴Ca, ⁴⁵Sc, ⁴⁷Ti, ⁵¹V, ⁵³Cr, ⁵⁵Mn, ⁵⁷Fe, ⁵⁹Co, ⁶⁰Ni, ⁶³Cu, ⁶⁶Zn, ⁸⁵Rb, ⁸⁸Sr, ⁸⁹Y, ⁹⁰Zr, ⁹³Nb, ¹³³Cs, ¹³⁷Ba, ¹³⁹La, ¹⁴⁰Ce, ¹⁴¹Pr, ¹⁴⁵Nd, ¹⁴⁷Sm, ¹⁵³Eu, ¹⁵⁸Gd, ¹⁵⁹Tb, ¹⁶⁴Dy, ¹⁶⁵Ho, ¹⁶⁰Er, ¹⁶⁹Tm, ¹⁷⁴Yb, ¹⁷⁵Lu, ¹⁸⁰Hf, ¹⁸¹Ta, ²⁰⁸Pb, ²³²Th, ²³⁸U — Table B1</t>
  </si>
  <si>
    <t>²⁴Mg, ²⁷Al, ²⁸Si, ⁴⁴Ca, ⁴⁵Sc, ⁴⁸Ti, ⁵¹V, ⁵²Cr, ⁵⁵Mn, ⁵⁷Fe, ⁵⁸Ni, ⁸⁸Sr, ⁸⁹Y, ⁹⁰Zr, ¹³⁸Ba, ¹³⁹La, ¹⁴⁰Ce, ¹⁴¹Pr, ¹⁴⁶Nd, ¹⁴⁷Sm, ¹⁵³Eu, ¹⁵⁷Gd, ¹⁵⁹Tb, ¹⁶³Dy, ¹⁶⁵Ho, ¹⁶⁶Er, ¹⁶⁹Tm, ¹⁷²Yb, ¹⁷⁵Lu, ¹⁷⁸Hf, ¹⁸¹Ta, ²³²Th, ²³⁸U</t>
  </si>
  <si>
    <t>²⁵Mg, ²⁷Al, ³¹P, ⁴³Ca, ⁴⁴Ca, ⁴⁵Sc, ⁴⁷Ti, ⁴⁹Ti, ⁵¹V, ⁵²Cr, ⁵³Cr, ⁵⁹Co, ⁶⁰Ni, ⁶¹Ni, ⁶²Ni, ⁶⁴Zn, ⁶⁶Zn, ⁶⁹Ga, ⁷¹Ga (19 isotopes total)</t>
  </si>
  <si>
    <t>Measured: ⁵⁹Co, ¹⁰¹Ru, ¹⁰³Rh, ¹⁰⁵Pd, ¹⁸⁵Re, ¹⁸⁹Os, ¹⁹³Ir, ¹⁹⁵Pt, ¹⁹⁷Au (9 HSEs); Monitored for inclusions: ²⁴Mg, ²⁹Si, ³¹P, ³³S, ⁶¹Ni (internal standard for quantification) — Table 1</t>
  </si>
  <si>
    <t>²³Na to ²³⁸U (full periodic table, m/z 23–238); simultaneous detection in 46 µs; all elements in range acquired per pixel</t>
  </si>
  <si>
    <t>²¹Sc, ⁵¹V, ⁵²Cr, ⁵⁹Co, ⁶⁰Ni, ⁶³Cu, ⁶⁶Zn, ⁶⁹Ga, ⁸⁵Rb, ⁸⁸Sr, ⁸⁹Y, ⁹⁰Zr, ⁹³Nb, ¹³⁷Ba, ¹³⁸La, ¹⁴⁰Ce, ¹⁴¹Pr, ¹⁴⁶Nd, ¹⁴⁷Sm, ¹⁵³Eu, ¹⁵⁷Gd, ¹⁵⁹Tb, ¹⁶³Dy, ¹⁶⁵Ho, ¹⁶⁶Er, ¹⁶⁹Tm, ¹⁷²Yb, ¹⁷⁵Lu, ¹⁷⁸Hf, ¹⁸¹Ta, ²³²Th, ²³⁸U (32 elements total)</t>
  </si>
  <si>
    <t>¹⁹⁷Au, ⁶³Cu (primary targets); additional isotopes via EMP for major elements (Si, Fe as internal standards)</t>
  </si>
  <si>
    <t>⁸³Kr (L4), ¹⁶⁷Er²⁺ (L3), ⁸⁴Sr (L2), ⁸⁵Rb (L1), ⁸⁶Sr (C), ¹⁷³Yb²⁺ (H1), ⁸⁷Sr (H2), ⁸⁸Sr (H3); Kr and doubly-charged REE monitored for interference correction</t>
  </si>
  <si>
    <t>Analyte</t>
  </si>
  <si>
    <t>Specific isotopes (mass/charge) actually measured in this analysis session. May be a subset of the protocol's Target Analytes if certain masses were excluded due to interference issues or detector limitations in this session. Report as isotope notation with mass number.</t>
  </si>
  <si>
    <t>e.g., '²⁵Mg, ²⁹Si, ⁴³Ca, ⁴⁵Sc, ⁵¹V, ⁵³Cr, ⁵⁵Mn, ⁵⁷Fe, ⁵⁹Co, ⁶⁰Ni, ⁶³Cu, ⁶⁶Zn, ⁸⁵Rb, ⁸⁸Sr ... ²³⁸U'</t>
  </si>
  <si>
    <t>Spectrometer Dwell Time</t>
  </si>
  <si>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</si>
  <si>
    <t>e.g., 6 ms (most isotopes); 35 ms (¹⁴⁷Sm, ¹⁵³Eu, ¹⁵⁸Gd for REE work)</t>
  </si>
  <si>
    <t>Sample time: 0.01 s (10 ms) per nuclide for all analytical modes; samples per peak: 10 (mapping), 18 (olivine run 1), 7 (olivine run 2), 5 (phosphate) — Table B1; total duty cycle: 1.944 s (mapping, 14 nuclides); 2.069 s (run 1, 7 nuclides); 2.062 s (run 2, 36 nuclides); 1.813 s (phosphate, 43 nuclides)</t>
  </si>
  <si>
    <t>0.05 s (50 ms) per isotope for all monitored masses (Table 2)</t>
  </si>
  <si>
    <t>Dwell times: 10–50 ms (varies by isotope; exact values not tabulated in the appendix)</t>
  </si>
  <si>
    <t>N/A — TOF instrument acquires full spectrum in 46 µs base integration time; 60+ spectra aggregated per readout; equivalent to ~300 Hz acquisition rate</t>
  </si>
  <si>
    <t>30 ms (most isotopes) / 10 ms (alternate; Dual detector mode); total scan time not stated but consistent with 45 s ablation at 1 Hz</t>
  </si>
  <si>
    <t>Sample time: 0.02 s per isotope; 100 samples per peak; 10 runs, 60 passes; total measurement time 120 s per analysis</t>
  </si>
  <si>
    <t>0.524 s integration time per cycle (single block of 120 cycles)</t>
  </si>
  <si>
    <t>Background Count Time</t>
  </si>
  <si>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</si>
  <si>
    <t>e.g., '30 s (spot/transect)' | '10 s per raster line (mapping)' | '25 s (one gas blank map per GRM at session start)'</t>
  </si>
  <si>
    <t>Gas blank measured before each analysis; scans of gas blank: 10 (mapping); 5 (olivine spot runs 1 and 2); 8 (phosphate); scans during ablation: 80 (mapping), 24 (olivine runs 1 and 2), 11 (phosphate) — Table B1; gas blank average subtracted per Appendix C5</t>
  </si>
  <si>
    <t>Gas blank measured with laser shutter closed; separate gas blank map (10 adjacent lines) acquired for each GRM at start and end of session</t>
  </si>
  <si>
    <t>25 s gas blank measured before each ablation</t>
  </si>
  <si>
    <t>20 s background measurement (laser shutter closed) before each 40 s ablation</t>
  </si>
  <si>
    <t>30 cycles × 0.524 s ≈ 15.7 s background (no laser ablation) at start of each acquisition</t>
  </si>
  <si>
    <t>Multi-Run Sequential Analysis Design</t>
  </si>
  <si>
    <t>Whether the protocol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</si>
  <si>
    <t>e.g., Single run | Two sequential runs: run 1 (major elements, 30 µm circular, medium resolution) → run 2 (trace elements, 130 µm circular, low resolution; Cr from run 1 as IS) | Pre-ablation pass + single acquisition run</t>
  </si>
  <si>
    <t>Effectively single run with two spot-size variants: standard raster (50 Hz, 50 µm spot) for most elements; additional 5 × 150 µm spots at 50 Hz specifically to improve Ge precision on selected irons</t>
  </si>
  <si>
    <t>Three-stage sequential design on same olivine location: (1) Pre-ablation pass (2 J cm⁻², 150 µm square, 300 µm s⁻¹) removes surface contamination and re-deposited material; (2) Run 1 — major elements (30 µm circular, 20 Hz, 4.72 J cm⁻², medium resolution M/ΔM=4000, 7 nuclides: ²⁵Mg ²⁹Si ³¹P ⁴⁴Ca ⁵³Cr ⁵⁵Mn ⁵⁷Fe); (3) Run 2 — trace elements (130 µm circular, 40 Hz, 4.72 J cm⁻², low resolution M/ΔM=300, 36 nuclides); Cr concentration from run 1 used as internal standard for run 2 — Sections 2.2.2–2.2.3 and Appendix C2</t>
  </si>
  <si>
    <t>Single continuous raster imaging run; no sequential passes on same location</t>
  </si>
  <si>
    <t>Single spot analysis run per location; 3 replicate analyses per grain</t>
  </si>
  <si>
    <t>Single spot analysis run per location</t>
  </si>
  <si>
    <t>Single continuous raster mapping run per sample area</t>
  </si>
  <si>
    <t>Single spot analysis run (100 µm spot, 1 Hz, 45 s ablation after 25 s gas blank)</t>
  </si>
  <si>
    <t>Two separate analysis modes operated independently (not sequential on same spot): (1) spot analysis (150 µm circular, 10 Hz, 40 s ablation, 20 s background); (2) elemental mapping (150 µm² square spot, 10 Hz, 10 µm s⁻¹ scan, 30 min continuous map) — separate analytical sessions, not sequential runs on the same location</t>
  </si>
  <si>
    <t>Single line scan run per location (2–6 µm s⁻¹, 50–60 µm spot); one block of 120 cycles per analysis location (first 30 cycles background, remaining 90 signal)</t>
  </si>
  <si>
    <t>Analysis Location/Spot Coordinates</t>
  </si>
  <si>
    <t>Location of the analysis on the sample surface. For spot and transect analysis: stage coordinates (X, Y in µm) or a description relative to a named reference feature (e.g., mineral rim, inclusion boundary). For mapping: coordinates of the map corner(s) or centre, plus map dimensions. Enables spatial reconstruction and co-registration with other analytical images.</t>
  </si>
  <si>
    <t>e.g., 'X = 12350 µm, Y = 8760 µm (stage coordinates)' | '500 µm from metal-olivine rim toward core' | 'Map centre: X=15000, Y=9000 µm; area: 1450×600 µm'</t>
  </si>
  <si>
    <t>Number of Replicates</t>
  </si>
  <si>
    <t>Number of replicate analyses performed on the same sample (or same nominal location for spot analysis) in this session. For spot analysis: number of individual spot analyses per grain or location. For transect: number of replicate transect lines. For mapping: number of map acquisitions of the same area (usually 1).</t>
  </si>
  <si>
    <t>Integer</t>
  </si>
  <si>
    <t>e.g., 3 (three replicate spots per grain) | 1 (single transect) | 1 (single map)</t>
  </si>
  <si>
    <t>Transect Length</t>
  </si>
  <si>
    <t>Total length of the transect line analysed in micrometres. This is an analysis-level parameter because it depends on the size of the feature of interest rather than being fixed in the protocol. The protocol fixes scan speed (captured in Transect Rate, Mapping Rate or Step Size); transect length is determined at analysis time based on grain or feature size.</t>
  </si>
  <si>
    <t>Numeric (µm)</t>
  </si>
  <si>
    <t>e.g., 500 µm | 1200 µm | 3000 µm</t>
  </si>
  <si>
    <t>Mapping Area</t>
  </si>
  <si>
    <t>Total area covered by the 2D raster map, expressed as width × height in µm or as total area in µm² or mm². This is an analysis-level parameter because it depends on the size of the grain or phase to be mapped. The protocol fixes scan speed, line spacing, and spot size; the map area is chosen at analysis time to cover the target feature.</t>
  </si>
  <si>
    <t>e.g., '1450×600 µm (870,000 µm²)' | '200×200 µm' | '0.5 mm²'</t>
  </si>
  <si>
    <t>5. Data Processing</t>
  </si>
  <si>
    <t>Internal Standard Approach</t>
  </si>
  <si>
    <t>Method used to determine the internal standard (IS) concentration for each unknown sample, used to correct for variable ablation yield between analyses. The approach is a fundamental protocol design choice that cannot be changed by analysts.</t>
  </si>
  <si>
    <t>e.g., 'Single element from EPMA (SiO₂ wt% used as IS)' | 'Sum-of-major-oxide normalization to 100% (Liu et al. 2008)' | 'Stoichiometry-derived (Ca fixed at 10.1 wt% for calcite)' | 'No IS — external calibration only'</t>
  </si>
  <si>
    <t>Sum of Fe + Ni + Co = 100% normalization (no external measurement required); eliminates need for independent Fe or Ni determination</t>
  </si>
  <si>
    <t>Mapping: sum-of-major-oxides normalization (MgO+FeO+SiO₂+P₂O₅ = 100 wt%) — no EPMA required (Appendix C1); Olivine trace element run 2: single element (Cr) internally measured from run 1 used as IS (Appendix C2); Phosphate: sum-of-major-oxides normalization to 100 wt% (Appendix C3)</t>
  </si>
  <si>
    <t>Sum-of-major-oxides normalization: oxides of 7 MEs (NaO, MgO, Al₂O₃, SiO₂, CaO, TiO₂, FeO) + Cl summed to 100 wt%; depth correction applied using digital microscope measurements of ablation pit depths</t>
  </si>
  <si>
    <t>Single element from EPMA (²⁵Mg measured by EPMA)</t>
  </si>
  <si>
    <t>Single element externally measured: ⁶¹Ni used as internal standard; Ni concentration in ablated spot determined by EPMA before LA-ICP-MS; calibration curve method used</t>
  </si>
  <si>
    <t>Sum of all element oxide mass fractions normalized to 100% (100% oxide normalization; van Elteren et al. 2009 method); corrects for ablation yield variation; eliminates need for homogeneous internal standard</t>
  </si>
  <si>
    <t>Two internal standards: Si (from XRF SiO₂) for Co, Ni, Cu, Zn; Al (from XRF Al₂O₃) for all other elements; major element concentrations provided by prior WD-XRF analysis of same glass disk</t>
  </si>
  <si>
    <t>Single element from EPMA: Si (SiO₂ from EMP) for glasses; Fe (FeOT from EMP) for sulfides</t>
  </si>
  <si>
    <t>Sum of Fe + Ni + Co = 100% normalization (Fe + Ni + Co masses set to 100%); eliminates need for independent major-element measurement; normalization mandatory for multiphasic mapping samples</t>
  </si>
  <si>
    <t>External calibration only (no internal standard); elemental fractionation corrected using reference glasses; Rb/Sr ratio calculated from ⁸⁵Rb and ⁸⁸Sr signals</t>
  </si>
  <si>
    <t>Internal Standard Element</t>
  </si>
  <si>
    <t>Element(s) used as the internal standard, and how the IS concentration value was determined for unknown samples. For mapping protocols using oxide-sum normalization, report "None (oxide-sum normalization)" and cite the method reference.</t>
  </si>
  <si>
    <t>e.g., '²⁹Si; SiO₂ wt% from EPMA' | '⁵³Cr; measured in preceding major-element run (run 1)' | 'None — sum of MgO+FeO+SiO₂+P₂O₅ = 100 wt% (Liu et al. 2008)'</t>
  </si>
  <si>
    <t>Fe, Ni, Co (sum = 100%)</t>
  </si>
  <si>
    <t>Mapping: no single IS element; oxide sum (MgO+FeO+SiO₂+P₂O₅) normalized to 100% used as virtual IS (Appendix C1); Olivine trace element run: ⁵³Cr, concentration measured in preceding major element run (30 µm spot, medium resolution) and used as IS for trace element run (130 µm spot) (Appendix C2); Phosphate: oxide sum normalization (Appendix C3)</t>
  </si>
  <si>
    <t>No single IS element; 100% oxide normalization using 7 MEs + Cl; pit depth measured by digital microscope (LEICA DVM5000) for volume correction (ablation volume correction applied separately)</t>
  </si>
  <si>
    <t>²⁵Mg; concentration from EMPA data used as standardizing value; EMPA MgO used as indexing element</t>
  </si>
  <si>
    <t>⁶¹Ni — concentration from EPMA (Ni wt% measured at exact analytical spot before LA)</t>
  </si>
  <si>
    <t>No single internal standard element; full 100% oxide normalization across all detected elements</t>
  </si>
  <si>
    <t>Si (for Co, Ni, Cu, Zn from XRF); Al (for all other trace elements from XRF) — dual internal standard strategy determined by fractionation behaviour</t>
  </si>
  <si>
    <t>Si (SiO₂ from EMP for glass); Fe (FeOT from EMP for sulfide)</t>
  </si>
  <si>
    <t>Fe + Ni + Co (sum = 100%)</t>
  </si>
  <si>
    <t>No conventional internal standard; ⁸⁵Rb used to calculate Rb/Sr ratio; external reference glasses used for Rb/Sr elemental fractionation correction</t>
  </si>
  <si>
    <t>Elemental Fractionation Correction</t>
  </si>
  <si>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</si>
  <si>
    <t>e.g., 'Normalised to NIST SRM 612; no additional downhole correction' | 'Exponential downhole fractionation correction in Iolite using NIST SRM 612' | 'Linear time-drift correction applied per analysis'</t>
  </si>
  <si>
    <t>Standardization techniques follow Humayun (2012); North Chile used as primary matrix-matched standard; yield corrections between NIST SRM 1263a and meteorite standards applied; calibration against North Chile (for Fe, Co, Ni, Cu, Ga, Ge, As, W, Au) and Hoba (for Ru, Rh, Pd, Re, Os, Ir, Pt)</t>
  </si>
  <si>
    <t>Internally normalized data externally quantified via linear regression using glass reference materials (Section 2.2.2, Appendix C1); for mapping: additional normalization by fixing sum of MgO+FeO+SiO₂+P₂O₅ = 100 wt% per pixel (Appendix C1, equations 3–4); for trace element spot: Cr from major element run as IS corrects for ablation yield (Appendix C2); in-house MatLab script for data reduction (Appendix C1)</t>
  </si>
  <si>
    <t>Femtosecond laser minimizes elemental fractionation (non-thermal ablation); depth-of-ablation correction applied using digital microscope measurements (4–12 µm for FGs); normalization to 100% oxide sum further corrects for ablation yield variation</t>
  </si>
  <si>
    <t>External calibration using BCR-2g, BHVO-2g, BIR-1g; ²⁵Mg internal standard from EMPA corrects for ablation yield variation; no explicit downhole fractionation correction method described</t>
  </si>
  <si>
    <t>Calibration curve method using IVB iron meteorite standards (Warburton Range + Tawallah Valley) as primary calibrators; ⁶¹Ni from EPMA as internal standard corrects for ablation yield variation; matrix-matched iron standard eliminates most elemental fractionation concerns</t>
  </si>
  <si>
    <t>Multi-point external calibration using least-squares regression against multiple glass GRMs; regression forced through zero with gas blank included; followed by 100% oxide normalization to correct ablation yield variation</t>
  </si>
  <si>
    <t>Femtosecond laser used to minimize matrix effects and elemental fractionation; stoichiometric ablation assumption justified (fs lasers cited as fractionation-free); NIST 612+614 used as non-matrix-matched calibrators</t>
  </si>
  <si>
    <t>Normalized to NIST 610 as external standard (primary); NIST 612 and BCR-2G as monitors; Si and Fe from EMP as internal standards correct for ablation yield differences</t>
  </si>
  <si>
    <t>Yield corrections for NIST SRM 612 relative to North Chile meteorite using 3D DRS (iolite 4.5.7); ordinary least-squares fitting of North Chile + NIST 612 signals per 15-min calibration block; temporal interpolation between blocks</t>
  </si>
  <si>
    <t>External calibration using series of reference glasses (14 materials) to derive average Rb/Sr elemental fractionation correction factor; applied uniformly to samples and standards; exponential law used for Sr isotope mass fractionation</t>
  </si>
  <si>
    <t>Uncertainty Propagation Method</t>
  </si>
  <si>
    <t>Approach used to propagate analytical uncertainty from raw count rates through the data reduction chain to final reported concentrations or isotope ratios. Specifies which uncertainty sources are included: counting statistics, calibration standard uncertainty, internal standard concentration uncertainty, drift correction uncertainty. Editable because this field may be unspecified at protocol registration (Advanced tier) and can be completed by the analyst when documenting the analysis.</t>
  </si>
  <si>
    <t>e.g., Counting statistics only (1σ on integrated signal, Longerich et al. 1996) | SD of n replicate analyses used as combined uncertainty estimate | Full propagation: counting + calibration standard + IS uncertainty (specify formula)</t>
  </si>
  <si>
    <t>Theoretical 1σ analytical precision calculated from counting statistics plus propagation of uncertainties; reported uncertainty is dominated by counting statistics for REEs near detection limits — "Determination of REE Abundances for Individual Mineral" section</t>
  </si>
  <si>
    <t>Standard deviation (SD) across individual integration cycles; standard error SE = SD/√n; uncertainty of single analysis (USE) and variability within run (USD) defined explicitly and propagated to 87Sr/86Sr and 87Rb/86Sr; Equations 1 and 2 stated in Experimental section</t>
  </si>
  <si>
    <t>Matrix Offset Correction (LIEF)</t>
  </si>
  <si>
    <t>Whether an empirical correction was applied to account for systematic differences in laser-induced elemental fractionation (LIEF) patterns between the external calibration standard and the sample matrix.</t>
  </si>
  <si>
    <t>e.g., 'Applied: 6.4% offset in Ca/Si determined by comparison with EPMA (Jenner &amp; O'Neill 2012)' | 'Not applied; Ca used as IS to cancel LIEF offset' | 'Not applicable'</t>
  </si>
  <si>
    <t>Signal Integration Interval Method</t>
  </si>
  <si>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</si>
  <si>
    <t>Manual visual inspection per analysis | Automated threshold (specify software and threshold) | Fixed time window applied uniformly | k-means clustering on multi-element map data | Phase mask applied using elemental threshold (e.g., P₂O₅ to exclude veinlets)</t>
  </si>
  <si>
    <t>Manual visual inspection of time-resolved signal; stable intervals selected; anomalous spikes (inclusions, cracks) excluded</t>
  </si>
  <si>
    <t>Automated selection in IOLITE using user-defined thresholds; manual review</t>
  </si>
  <si>
    <t>Manual visual inspection per analysis</t>
  </si>
  <si>
    <t>Time-resolved signals monitored during ablation; analyses with elevated Mg, Si, P, S (inclusion indicators) excluded; stable intervals used for quantification</t>
  </si>
  <si>
    <t>VOI (Volume of Interest) selection using k-means clustering algorithm in HDIP software, or manual selection; each VOI corresponds to compositionally distinct phase or area; pixels integrated per VOI</t>
  </si>
  <si>
    <t>Time-resolved signal inspected visually; micronuggets identified from spikes in Au signal and excluded from integration window</t>
  </si>
  <si>
    <t>Regions of integration for gas background and sample selected manually; beginning and end cycles of ablation signal discarded</t>
  </si>
  <si>
    <t>Signal Integration Time</t>
  </si>
  <si>
    <t>Actual integration time used for the ablation signal in this analysis, in seconds. This is an analysis-level outcome determined during data reduction by applying the Signal Integration Interval Method to the time-resolved signal. It is equal to or shorter than the Ablation Duration per Spot because the signal start and end transients are typically discarded. Not applicable to mapping analysis: for mapping, the equivalent concept is the per-pixel cycle time, which is determined by the spectrometer dwell time settings (a protocol-level field) rather than being an analysis-level outcome.</t>
  </si>
  <si>
    <t>e.g., 40 s | 60 s</t>
  </si>
  <si>
    <t>60 s ablation signal per analysis</t>
  </si>
  <si>
    <t>Variable per CAI (continuous scan; on-peak time = total scan duration over ablation area)</t>
  </si>
  <si>
    <t>Each pixel = one laser shot; pixel acquisition rate 100–300 pixels s⁻¹; 68–206 ICP-ToF-MS spectra integrated per pixel/laser shot</t>
  </si>
  <si>
    <t>45 s on-sample ablation</t>
  </si>
  <si>
    <t>~40 s (inferred from typical CetacAnalyte HE protocol: 40 s ablation stated for time-resolved analysis)</t>
  </si>
  <si>
    <t>40 s on-sample ablation</t>
  </si>
  <si>
    <t>60–70 cycles × 0.524 s ≈ 31–37 s (final integrated signal window after discarding beginning and end cycles)</t>
  </si>
  <si>
    <t>Spike / Outlier Filtering Approach</t>
  </si>
  <si>
    <t>Method used to identify and remove anomalous signal spikes arising from micronuggets, inclusions, cracks, or instrument artifacts during time-resolved signal processing. Editable because the specific implementation may vary between sessions while remaining within the protocol framework.</t>
  </si>
  <si>
    <t>e.g., 'Significant single spikes visually identified and removed in Iolite' | 'Statistical filter: data points &gt;3σ from running mean removed' | 'No filtering applied' | 'Automated spike detection in SILLS'</t>
  </si>
  <si>
    <t>Time-resolved signals inspected visually; anomalous spikes from inclusions flagged and removed in iolite</t>
  </si>
  <si>
    <t>Automated spike detection in IOLITE</t>
  </si>
  <si>
    <t>Manual inspection</t>
  </si>
  <si>
    <t>Analyses showing elevated Mg, Si, P or S intensities (indicating micro-inclusions of silicate, phosphide or sulfide) identified and excluded from dataset</t>
  </si>
  <si>
    <t>Time-resolved LA-ICP-MS signals inspected to identify micronuggets of Au (sharp spikes); only analyses free from micronuggets, or where spikes could be cleanly removed, were accepted</t>
  </si>
  <si>
    <t>Blank / Background Correction Method</t>
  </si>
  <si>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</si>
  <si>
    <t>e.g., 'Mean of 30 s pre-ablation gas blank subtracted per isotope per analysis' | 'Separate gas blank map (10 adjacent lines, laser off) acquired for each GRM; mean used for subtraction'</t>
  </si>
  <si>
    <t>Mean of 30 s pre-ablation gas blank subtracted per isotope before external calibration</t>
  </si>
  <si>
    <t>Gas blank measured before each analysis (laser shutter closed; duration not stated); time-resolved signals inspected manually; anomalous time steps excluded (inclusions, cracks, heterogeneity)</t>
  </si>
  <si>
    <t>Gas blank measured as 10-adjacent-line-scan map with laser shutter closed; gas blank data used in LoD calculation (Pettke et al. 2012 equation) and subtracted in HDIP prior to calibration</t>
  </si>
  <si>
    <t>Gas blank measured for 25 s before each ablation; flux procedure blank also prepared (350 mg Li₂B₄O₇ + 10 mg Al₂O₃); flux blank contributions deducted from pollution element results</t>
  </si>
  <si>
    <t>Background signal measured for 20 s (laser shutter closed) before each 40 s ablation; median LOD calculated per element across all acquisitions (Longerich et al. 1996 equations in iolite 4)</t>
  </si>
  <si>
    <t>First 30 cycles (no laser ablation) used for background collection; background Kr⁺ signal corrected; no additional Kr peak stripping applied</t>
  </si>
  <si>
    <t>Pulse/Analog Detector Nonlinearity Correction</t>
  </si>
  <si>
    <t>Whether a correction was applied for nonlinear response at the transition between pulse-counting and analog detector modes.</t>
  </si>
  <si>
    <t>Not applicable (instrument uses pulse counting only) | Applied: describe method and elements affected | Not applied (crossover threshold not reached for any element) | Not applied (known bias accepted)</t>
  </si>
  <si>
    <t>Isobaric Interference Corrections Applied</t>
  </si>
  <si>
    <t>Whether isobaric interference corrections were applied for any measured isotope in this protocol. A protocol-level Boolean: if the protocol includes interference corrections, this is always Yes. Element-specific detail is captured in Interfering Species and Interference Correction Method.</t>
  </si>
  <si>
    <t>Boolean</t>
  </si>
  <si>
    <t>Yes | No</t>
  </si>
  <si>
    <t>Table C1 lists spectral interferences for all 14 mapping nuclides; argide-based interferences reduced by cool plasma conditions (800 W); oxide-based interferences minimized by dry plasma and tuning; mathematical corrections applied where feasible (Appendix C4)</t>
  </si>
  <si>
    <t>KED (kinetic energy discrimination) mode using He collision gas suppresses polyatomic ion interferences (e.g., oxide ions ⁴⁰Ar⁺ based); oxide production rate ThO/Th kept &lt;1%; CRC technique effective for accurate REE analysis</t>
  </si>
  <si>
    <t>Partial — no explicit isobaric interference corrections stated; ²⁴Mg, ²⁹Si, ³¹P, ³³S monitored to identify and avoid micro-inclusions of sulfides and phosphides during ablation; ¹⁰¹Ru used (not ¹⁰³Rh overlap potential) — implicit isotope selection to minimize interferences</t>
  </si>
  <si>
    <t>N (interference corrections not applied per se; Ar-related ions are physically attenuated using notch-filter quadrupole: mass regions of ³⁶Ar⁺, ⁴⁰Ar⁺, ⁴⁰ArH⁺, ⁴⁰Ar⁴⁰Ar⁺ attenuated to prevent detector saturation; affects neighbouring element LoDs e.g., K)</t>
  </si>
  <si>
    <t>¹⁶⁸Er²⁺ on ⁸⁴Sr; ¹⁷⁰Er²⁺ + ¹⁷⁰Yb²⁺ on ⁸⁵Rb; ¹⁷²Yb²⁺ on ⁸⁶Sr; ¹⁷⁴Yb²⁺ on ⁸⁷Sr; ⁸⁷Rb on ⁸⁷Sr — all corrected</t>
  </si>
  <si>
    <t>Interfering Species</t>
  </si>
  <si>
    <t>Elemental or molecular species (oxides, argides, doubly charged ions) overlapping with the measured isotope.</t>
  </si>
  <si>
    <t>e.g., '⁸⁷Rb on ⁸⁷Sr; ¹⁷⁰Yb²⁺ on ⁸⁵Rb' | '⁴⁰Ar³¹P⁺ on ⁷¹Ga; ⁴⁴Ca¹⁶O⁺ on ⁶⁰Ni' | '¹³⁷Ba¹⁶O⁺ on ¹⁵³Eu' | 'None'</t>
  </si>
  <si>
    <t>Per Table C1: ¹²C¹³C⁺ on ²⁵Mg; ¹⁵N¹⁶O⁺, ¹³C¹⁸O⁺ on ³¹P; ³⁶Ar⁷Li⁺, ²⁹Si¹⁶O⁺ on ⁴⁵Sc; ³⁵Cl¹⁶O⁺, ⁴⁰Ar¹¹B⁺ on ⁵¹V; ⁴⁰Ar¹³C⁺, ³⁷Cl¹⁶O⁺ on ⁵³Cr; ⁴⁰Ar¹⁵N⁺, ³⁹K¹⁶O⁺ on ⁵⁵Mn; ⁴⁰Ar¹⁶OH⁺, ³⁹K¹⁸O⁺ on ⁵⁷Fe; ⁴⁴Ca¹⁶O⁺, ²⁴Mg³⁶Ar⁺ on ⁶⁰Ni; ⁵³Cr¹⁸O⁺, ³¹P⁴⁰Ar⁺, ⁵⁵Mn¹⁶O⁺ on ⁷¹Ga; ¹³⁷Ba¹⁶O⁺ on ¹⁵³Eu — Table C1</t>
  </si>
  <si>
    <t>Polyatomic ions (oxide ions ThO⁺/Th⁺ as proxy); argide ions suppressed by KED; no specific element-by-element interference list given</t>
  </si>
  <si>
    <t>Sulfide inclusions detectable via ³³S signal; phosphide inclusions detectable via ³¹P signal; silicate inclusions via ²⁴Mg, ²⁹Si; monitoring strategy used to identify contaminated analyses for exclusion</t>
  </si>
  <si>
    <t>³⁶Ar⁺, ⁴⁰Ar⁺, ⁴⁰ArH⁺, ⁴⁰Ar⁴⁰Ar⁺ (attenuated by notch-filter); ³⁸Ar⁺ and neighbouring mass regions also affected (e.g., K LoD elevated by notching near ³⁹K⁺)</t>
  </si>
  <si>
    <t>⁴⁰Ar⁶¹Ni⁺ on ¹⁰¹Ru (most abundant Ru isotope → use ⁹⁹Ru instead); ⁴⁰Ar⁵⁹Co⁺ on ⁹⁹Ru (less severe); isotope selection decisions documented in Table 2</t>
  </si>
  <si>
    <t>¹⁶⁸Er²⁺ on ⁸⁴Sr; ¹⁷⁰Er²⁺ and ¹⁷⁰Yb²⁺ on ⁸⁵Rb; ¹⁷²Yb²⁺ on ⁸⁶Sr; ¹⁷⁴Yb²⁺ on ⁸⁷Sr; ⁸⁷Rb on ⁸⁷Sr</t>
  </si>
  <si>
    <t>Interference Correction Method</t>
  </si>
  <si>
    <t>Equation or procedure used to correct for isobaric interferences, including the production rate factor and the reference material used to measure it.</t>
  </si>
  <si>
    <t>e.g., 'Mathematical correction: ⁸⁷Sr_corrected = ⁸⁷Sr_measured − f(⁸⁷Rb/⁸⁵Rb) × ⁸⁵Rb' | 'Cool plasma (800 W) reduces ⁴⁰Ar-based argides by &gt;90% for ⁶⁰Ni and ⁷¹Ga' | 'KED mode (He collision gas 4 ml min⁻¹) suppresses polyatomic interferences'</t>
  </si>
  <si>
    <t>Cool plasma conditions (800 W RF power) applied for mapping to reduce argide-based interferences (e.g., ³⁶Ar²⁴Mg⁺ and ⁴⁰Ar³¹P⁺ affecting ⁶⁰Ni and ⁷¹Ga); oxide-based interferences minimized by dry plasma and tuning; interferences present at all times (from Ar/atmosphere) corrected by background subtraction; matrix element interferences partially corrected as calibration standards contain similar concentrations; pairwise scatter plots used as diagnostic for remaining interferences (Appendix C4)</t>
  </si>
  <si>
    <t>KED mode with He collision gas (4 ml min⁻¹); gas flow optimized to minimize oxide production (ThO/Th &lt;1%) while maintaining REE ion transmission; mathematical corrections not described</t>
  </si>
  <si>
    <t>Monitoring approach: if Mg, Si, P, S intensities elevated during ablation, analysis flagged as contaminated by inclusions and excluded; no mathematical interference correction described</t>
  </si>
  <si>
    <t>Physical attenuation of Ar-based ions using notch-filter quadrupole prior to mass analyser (not a mathematical correction); reduces detector saturation</t>
  </si>
  <si>
    <t>Isotopes chosen to minimize interference (e.g., ⁹⁹Ru instead of ¹⁰¹Ru); isobaric avoidance by isotope selection rather than mathematical correction</t>
  </si>
  <si>
    <t>(a) Monitored ¹⁶⁷Er²⁺, ¹⁷³Yb²⁺, ⁸⁴·⁸⁶⁻⁸⁸Sr and ⁸⁵Rb with natural isotope ratios of Er and Yb used for doubly-charged REE corrections; (b) ⁸⁷Rb on ⁸⁷Sr corrected by monitoring ⁸⁵Rb and user-specified ⁸⁷Rb/⁸⁵Rb ratio using exponential law for mass bias (only valid for ⁸⁷Rb/⁸⁶Sr &lt;1)</t>
  </si>
  <si>
    <t>Memory Effect Mitigation</t>
  </si>
  <si>
    <t>Protocol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</si>
  <si>
    <t>e.g., 'Extended washout (≥60 s He flush) between high-concentration standards and unknowns' | 'Scan speed set so that washout time (&lt;1 s) is shorter than pixel acquisition interval' | 'None required for this element suite'</t>
  </si>
  <si>
    <t>Normalization / Standards-Based Correction</t>
  </si>
  <si>
    <t>Any post-acquisition normalization applied to correct for systematic biases identified from secondary reference materials, or stoichiometric normalization applied per pixel in mapping. Distinct from the primary internal standard approach captured in Internal Standard Approach.</t>
  </si>
  <si>
    <t>e.g., 'None' | '100% oxide sum normalization applied per pixel to enforce mass balance (Liu et al. 2008)' | 'Normalized to ⁸⁸Sr/⁸⁶Sr = 8.37521 for mass bias correction in Sr isotope analysis'</t>
  </si>
  <si>
    <t>Yield correction factors for NIST SRM 612 relative to North Chile calculated; calibration surfaces applied to unknowns; sum Fe+Ni+Co=100% applied as final normalization step</t>
  </si>
  <si>
    <t>Internally normalized data externally quantified via linear regression using multiple glass reference materials (NIST SRM 612, 614, USGS GSD-1G, GSE-1G, BHVO-2G, BIR-1G for mapping; MPI-DING and USGS glasses for trace element runs); additional pixel-by-pixel normalization to enforce oxide sum = 100 wt% (Appendix C1, equations 3–4)</t>
  </si>
  <si>
    <t>Normalized to NIST SRM 612 as primary; no further post-acquisition normalization stated</t>
  </si>
  <si>
    <t>100% oxide sum normalization applied after external calibration in HDIP; corrects for ablation yield variability and eliminates need for homogeneous internal standard</t>
  </si>
  <si>
    <t>Fe + Ni + Co = 100% sum normalization applied in iolite 3D Trace Elements DRS after yield correction; eliminates drift correction and internal standard requirement</t>
  </si>
  <si>
    <t>⁸⁸Sr/⁸⁶Sr = 8.37520933 assumed for Sr isotope mass fractionation correction (exponential law); external calibration of ⁸⁷Rb/⁸⁶Sr using average correction factor from 14 reference glasses</t>
  </si>
  <si>
    <t>6. Quality Control &amp; Uncertainty</t>
  </si>
  <si>
    <t>Primary Calibration Standard Name</t>
  </si>
  <si>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</si>
  <si>
    <t>e.g., 'NIST SRM 612 (Jochum et al. 2011, doi:10.1111/j.1751-908X.2011.00120.x)' | 'USGS BCR-2G (GeoReM preferred values, georem.mpch-mainz.gwdg.de)'</t>
  </si>
  <si>
    <t>NIST SRM 612 (Jochum et al. 2011) + North Chile iron meteorite (Gilmour &amp; Herd 2020, M&amp;PS) as co-primary for matrix-matched calibration</t>
  </si>
  <si>
    <t>Mapping: NIST SRM 612, NIST SRM 614, USGS GSD-1G, GSE-1G (synthetic); BHVO-2G, BIR-1G (natural basalt glass) — used together for linear regression external calibration (Section 2.2.2); Olivine trace element: same set plus MPI-DING KL2-G, ML3B-G, StHs6/80-G, T1-G, ATHO-G, BM90/21-G, GOR128-G, GOR132-G (Section 2.2.3); Phosphate: MPI-DING and USGS glass reference materials (Section 2.2.4)</t>
  </si>
  <si>
    <t>NIST SRM 612 (glass, REE reference); natural mineral references: augite (Morogoro, Tanzania, Nichika Inc.) for Mg, Al, Fe; olivine (Horoman, Hokkaido) for Mg, Si, Fe; Cl-apatite (Chichibu, Saitama) for Cl; titanite (Mount Dromedary Complex) for Ca, Ti</t>
  </si>
  <si>
    <t>USGS standard glasses BCR-2g, BHVO-2g, and BIR-1g; preferred values from GeoReM website (http://georem.mpch-mainz.gwdg.de/sample_query_pref.asp)</t>
  </si>
  <si>
    <t>IVB iron meteorites Warburton Range (external standard) and Tawallah Valley (secondary standard); elemental abundances from Walker et al. (2008), GCA 72:2198–2216</t>
  </si>
  <si>
    <t>Multiple natural glass GRMs used for multi-point external calibration: USGS GSE-1G, GSD-1G (synthetic basaltic); BIR-1G, BHVO-2G, BCR-2G (basaltic); NKT-1G (nephelinitic); MPI-DING GOR128-G, GOR132-G (komatiitic); ML3B-G, KL2-G (basaltic); ATHO-G (rhyolitic); StHs6/80-G (andesitic); T1-G (dioritic). Certified values preferred; GeoReM values used when certified unavailable</t>
  </si>
  <si>
    <t>NIST SRM 612 + NIST SRM 614 (non-matrix-matched, used together for better calibration range); BHVO-2 lithium borate glass (matrix-matched, self-prepared) also tested</t>
  </si>
  <si>
    <t>NIST SRM 610 (primary external standard, Jochum et al. 2011); NIST SRM 612 and BCR-2G as monitors</t>
  </si>
  <si>
    <t>NIST SRM 612 (Jochum et al. 2011) + North Chile Filomena iron meteorite (Gilmour &amp; Herd 2020) as co-primary (complementary: SRM 612 lacks Ir, Os, Pd, Pt, Rh, Ru at detectable levels; North Chile used for PGEs and siderophiles)</t>
  </si>
  <si>
    <t>Multiple glass reference materials used as external standards for Rb/Sr calibration: NIST SRM 610, 612 (Jochum et al. 2011); USGS BCR-2G, BHVO-2G, NKT-1G, TB-1G; MPI-DING ATHO-G, KL2-G, ML3B-G, StHs6/80-G, T1-G (11 glasses total with known ⁸⁷Rb/⁸⁶Sr); 3 natural minerals used for ⁸⁷Sr/⁸⁶Sr accuracy check</t>
  </si>
  <si>
    <t>Secondary Reference Materials</t>
  </si>
  <si>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</si>
  <si>
    <t>e.g., 'NIST SRM 610 (Jochum et al. 2011); GOR132-G (Jochum et al. 2006)' | 'BHVO-2G (GeoReM), BCR-2G (GeoReM)'</t>
  </si>
  <si>
    <t>Hoba iron meteorite; Guadalupe y Calvo iron meteorite; Campo del Cielo; Santa Catharina; Dronino; Gibeon; Indianópolis; Nossa Senhora do Livramento; Santo Antônio do Descoberto (all validated against published INAA values)</t>
  </si>
  <si>
    <t>GOR132-G, StHs6/80-G, T1-G (MPI-DING); BCR-2G, BHVO-2G (USGS) — measured as unknowns alongside samples and compared to GeoReM preferred values for accuracy assessment (Section 3.3 and Table 1)</t>
  </si>
  <si>
    <t>BHVO-2G processed as unknown for accuracy assessment</t>
  </si>
  <si>
    <t>BCR-2G, BHVO-2G, BIR-1G (processed as unknowns alongside unknowns)</t>
  </si>
  <si>
    <t>Tawallah Valley IVB iron meteorite (measured as secondary/check standard; results compared to Walker et al. 2008 and Williams et al. 2006); ²⁴Mg, ²⁹Si, ³¹P, ³³S monitored to detect inclusions during ablation</t>
  </si>
  <si>
    <t>BHVO-2G (USGS) and StHs6/80-G (MPI-DING) designated as secondary QC materials; measured in 8 and 6 sessions respectively across 1-year period; GeoReM consensus values used for comparison</t>
  </si>
  <si>
    <t>AC-E, GSR-1, JB-1b, GSR-3, AGV-2, W-2A (6 silicate rock GRMs spanning mafic to felsic; GeoReM database preferred values used); NWA13190 (shergottite) and NWA14526 (lunar basalt) validated against SN-ICP-MS</t>
  </si>
  <si>
    <t>NIST SRM 612 and BCR-2G (monitoring standards); results compared to GeoReM preferred values</t>
  </si>
  <si>
    <t>8 known iron meteorites (Arraias, Campo del Cielo, Dronino, Gibeon, Indianópolis, Santa Catharina, Santo Antônio do Descoberto, Nossa Senhora do Livramento); published INAA values used for comparison</t>
  </si>
  <si>
    <t>Two natural clinopyroxenes (NHB-9, YY12-01) and one natural anorthite (YG4301) used for ⁸⁷Sr/⁸⁶Sr accuracy verification; 14 reference glasses used for overall method assessment</t>
  </si>
  <si>
    <t>Detection Limit</t>
  </si>
  <si>
    <t>Session detection limit for each measured isotope, expressed in µg g⁻¹, ng g⁻¹, or wt% as appropriate. Report the value(s) and units per isotope or element group. Mandatory at analysis level to demonstrate the reliability of reported near-detection-limit concentrations. The calculation method is captured separately in Detection Limit Method.</t>
  </si>
  <si>
    <t>Numeric (ppm or wt%)</t>
  </si>
  <si>
    <t>e.g., '0.003 ng g⁻¹ (La), 0.005 ng g⁻¹ (Ce) (3σ background; Longerich et al. 1996)' | 'Range: 0.005–23.5 µg g⁻¹ across all measured isotopes (Pettke et al. 2012)'</t>
  </si>
  <si>
    <t>LOD in µg g⁻¹: As 2, Au 0.1, Co 2, Cr 19, Cu 0.8, Fe 60, Ga 0.3, Ge 3, Ir 0.2, Ni 36, Os 0.2, Pd 0.5, Pt 0.3, Re 0.1, Rh 0.1, Ru 1, W 1 (median values, Longerich et al. 1996)</t>
  </si>
  <si>
    <t>LoDs in µg g⁻¹: P ~5, REEs 0.003–0.05 (Yb, Lu), Rb, Sr, Y, Zr ~0.005–0.01; element-specific, calculated as 3σ of background</t>
  </si>
  <si>
    <t>Lu measured down to ~10 ng g⁻¹ (0.4× CI-normalized); measurement uncertainties for individual data points 20–50%; REE factor of 2–10 variation between mineral phases detectable</t>
  </si>
  <si>
    <t>LoDs for 56 elements determined in 7 mapping sessions over 1 year; range 0.1–10 µg g⁻¹ for most elements when using 5×5 µm square spot; down to 10 ng g⁻¹ for some REEs; LoDs correspond to 0.004–0.05 mm² integrated map areas; calculated using Pettke et al. (2012) equation</t>
  </si>
  <si>
    <t>LoDs calculated per Pettke (2012); range 0.005–23.5 µg g⁻¹ for 32 elements in BHVO-2 borate glass (elevated by 35× dilution); NIST 610 LoDs: 0.007–0.45 µg g⁻¹ for comparison; LOQ = 3.3 × LOD; flux blank LOQ = blank + 10SD for pollution elements (V, Co, Zn, Ba, La, Ce, Ta, U)</t>
  </si>
  <si>
    <t>LoDs in µg g⁻¹ (median): As 2, Au 0.1, Co 2, Cr 19, Cu 0.8, Fe 60, Ga 0.3, Ge 3, Ir 0.2, Ni 36, Os 0.2, Pd 0.5, Pt 0.3, Re 0.1, Rh 0.1, Ru 1, W 1; calculated using Longerich et al. (1996) equations in iolite 4 (individual LOD per acquisition)</t>
  </si>
  <si>
    <t>Detection Limit Method</t>
  </si>
  <si>
    <t>Reference or description of the method used to calculate session detection limits. Mandatory at analysis level. Must be consistent with the method applied to generate the Detection Limit values reported above.</t>
  </si>
  <si>
    <t>Text / URI</t>
  </si>
  <si>
    <t>e.g., '3σ of background ion counts per Longerich et al. (1996), doi:10.1039/ja9961100899' | 'Sample-individual LOD per Pettke et al. (2012), doi:10.1016/j.oregeorev.2011.11.001'</t>
  </si>
  <si>
    <t>Longerich et al. 1996 (J. Anal. At. Spectrom. 11:899–904); individual LOD calculated per acquisition in iolite 4</t>
  </si>
  <si>
    <t>3σ of mean gas blank signal (Longerich et al. 1996)</t>
  </si>
  <si>
    <t>Pettke et al. 2012 (Ore Geol. Rev. 44:10–38) equation using gas blank count rate, dwell time, number of sweeps for background and analyte, and sensitivity; LoDs correspond to integrated map areas (0.004–0.05 mm²), not single pixels</t>
  </si>
  <si>
    <t>Pettke (2012) — same equation as Chernonozhkin 2024; LOQ = 3.3 × LOD; for pollution elements: LOQ = blank + 10SD per IUPAC Gold Book</t>
  </si>
  <si>
    <t>Longerich et al. 1996 (J. Anal. At. Spectrom. 11:899–904); LOD computed individually per acquisition in iolite 4 (amount of material ablated differs per analysis); Table 3 reports median values</t>
  </si>
  <si>
    <t>Limit of Quantification (LOQ) Method</t>
  </si>
  <si>
    <t>Reference or description of the method used to calculate the limit of quantification (LOQ): the lowest concentration reliably measurable with acceptable precision and accuracy. Mandatory at analysis level when concentrations near the LOD are reported. Concentrations between LOD and LOQ are detectable but not reliably quantifiable.</t>
  </si>
  <si>
    <t>e.g., 'LOQ = 10 × SD of background counts (10σ criterion)' | 'LOQ = 3.3 × LOD per IUPAC Gold Book' | 'LOQ = blank value + 10 SD for pollution elements (V, Ba, U)'</t>
  </si>
  <si>
    <t>LOQ = 10 × SD of background counts (10σ criterion; same formula as LOD but using 10σ instead of 3σ); explicitly stated that most REE concentrations measured in olivine are below the LOQ — Appendix C5</t>
  </si>
  <si>
    <t>LOQ = 3.3 × LOD per Pettke (2012); for pollution elements (V, Co, Zn, Ba, La, Ce, Ta, U): LOQ = blank value + 10 SD per IUPAC Gold Book — Section 2.2 ("LOQs and flux blanks")</t>
  </si>
  <si>
    <t>Within-Session Analytical Precision and Assessment Method</t>
  </si>
  <si>
    <t>Reproducibility of repeated measurements within a single analytical session. Report both the assessment method and the precision values. Assessment method must specify: (1) the reference material used, (2) number of replicates n, and (3) the statistic reported (1σ RSD, 2σ RSD, etc.). For mapping: assess from repeated analyses of a reference material area at session start and end, or from replicate analyses of a homogeneous reference phase within the map.</t>
  </si>
  <si>
    <t>e.g., '1σ RSD = 1.5% for Ba, 2.3% for La (n=5 on NIST SRM 612 per session)' | 'Mapping: 4% 1σ RSD across 3 GRM map areas at session start and end (n=3)'</t>
  </si>
  <si>
    <t>RSD &lt;15% for most elements; Cr, Ir, Os: ~20% RSD under repeatability conditions (n=20 spot analyses in Arraias)</t>
  </si>
  <si>
    <t>Precision &lt;5% RSD (1σ) for most elements in olivine; &lt;10% for P and trace elements in phosphate (n=3–10 per session)</t>
  </si>
  <si>
    <t>20–50% uncertainty for individual REE data points; REE abundance differences of factor 2–10 between mineral phases reliably detected; differences within factor 2 difficult to distinguish</t>
  </si>
  <si>
    <t>For most elements at ≥10 µg g⁻¹: 5–15% RSD (intermediate precision); for &lt;10 µg g⁻¹: 5–30% RSD; demonstrated over 8 sessions in 1 year on BHVO-2G (n=8 maps); some elements (Cd, Cs, In) unreliable due to low intensities</t>
  </si>
  <si>
    <t>RSD &lt;15% for most elements in Arraias meteorite (n=20 spot analyses, repeatability conditions); worst case Cr, Ir, Os ~20% RSD; North Chile measured repeatedly over 4 months for intermediate precision (same result: ≤20% RSD in worst case)</t>
  </si>
  <si>
    <t>Between-Session (Long-Term) Analytical Precision and Assessment Method</t>
  </si>
  <si>
    <t>Reproducibility of measurements across multiple analytical sessions over weeks to months (long-term or intermediate precision). Report both the assessment method and the precision values. Specify: reference material used, number of sessions n, time span covered, and statistic reported. Long-term precision is typically assessed from a compiled record of secondary reference material values across all sessions.</t>
  </si>
  <si>
    <t>e.g., '2σ RSD = 3% for Eu/Eu* on GOR132-G across 12 sessions over 8 months' | '1σ RSD = 2% for most REEs on BHVO-2G across 17 sessions over 3 years (n=85 analyses)'</t>
  </si>
  <si>
    <t>Intermediate precision (between 8 sessions over 1 year): 5–15% RSD for elements ≥10 µg g⁻¹; 5–30% RSD for &lt;10 µg g⁻¹ (2RSD); demonstrated on BHVO-2G (n=8); results for W in StHs6/80-G: 0.35 ± 0.25 µg g⁻¹; BHVO-2G: 0.26 ± 0.18 µg g⁻¹ over 1 year</t>
  </si>
  <si>
    <t>Intermediate precision assessed on North Chile meteorite measured over 4 months (different days, new calibration curves each day): ≤20% RSD in worst case (same as repeatability); North Chile used for intermediate precision, not bias assessment</t>
  </si>
  <si>
    <t>Analytical Accuracy and Assessment Method</t>
  </si>
  <si>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</si>
  <si>
    <t>e.g., 'Within ±5% of GeoReM preferred values for most REEs on GOR132-G (n=15); +8% for Nb (known matrix sensitivity)' | '±3% for all elements on BHVO-2G vs. GeoReM (n=20)'</t>
  </si>
  <si>
    <t>Within ±20% of published values for &gt;75% of elements (INAA comparison); Au and Ge in perfect agreement; outliers (Ir in some samples) attributed to natural heterogeneity</t>
  </si>
  <si>
    <t>Within ±10% of GeoReM preferred values for REEs and most trace elements in GOR132-G and BHVO-2G; phosphate: within ±15% for most elements</t>
  </si>
  <si>
    <t>Sc: good agreement with Davis (1977) INAA (within scatter envelope); Cr: scatter along equiline vs Davis and INAA, Pavlodar anomalous (heterogeneous); Zn: scatter vs INAA; in-situ Ca, V, Cr compared to Hsu (2003) SIMS with systematic offsets attributed to grain heterogeneity, not analytical bias; Sc: no systematic offset vs SIMS</t>
  </si>
  <si>
    <t>No systematic bias demonstrated; measured values for W in StHs6/80-G (0.35 ± 0.25 µg g⁻¹) and BHVO-2G (0.26 ± 0.18 µg g⁻¹) fall within GeoReM consensus ranges; MSWD for Cu and W in BHVO-2G &lt;1 (measurement uncertainties slightly overestimated)</t>
  </si>
  <si>
    <t>Within 10% of GeoReM reference values for most of 32 trace elements in 6 silicate rock GRMs (AC-E, GSR-1, JB-1b, GSR-3, AGV-2, W-2A); RSD &lt;10% for most elements; larger discrepancies (&gt;15%) for Co, Ni, Cu (contamination during fusion), and some low-concentration elements near LOQ</t>
  </si>
  <si>
    <t>Au and Cu fully dissolved in most glasses (smooth signals); data from both laboratories agreed within 10%; Au detection limits ~0.01 ppm; Cu ~0.1 ppm</t>
  </si>
  <si>
    <t>Within ±20% of published INAA values for &gt;75% of elements; trend lines slope 0.87–1.17 (R²=0.97–1.0) vs published values; no systematic measurement bias; Ir heterogeneity in some samples explains outliers</t>
  </si>
  <si>
    <t>⁸⁷Sr/⁸⁶Sr relative error &lt;0.2‰ for reference materials with ⁸⁷Rb/⁸⁶Sr &lt;1; relative error for ⁸⁷Rb/⁸⁶Sr: ±3% across 11 glasses (range -3.46% to +2.89%); SUIA method gives Rb-Sr isochron ages within 1–2% of U-Pb SIMS ages for two lunar meteorites</t>
  </si>
  <si>
    <t>Additional Notes</t>
  </si>
  <si>
    <t>Any additional context about this protocol or analysis session not captured by the structured fields above. Use sparingly; structured fields are preferred for all information that can be formally categorised.</t>
  </si>
  <si>
    <t>LA-ICP-ToF-MS maps complement and extend petrographic observations; VOI integration allows quantification of microscopic zones and mineral phases of complex shape; significantly less destructive than conventional 10–50 µm spot LA-ICP-MS; does not require pre-identification of areas of interest or nuclides of interest; synthetic glass GRMs (GSE-1G, GSD-1G) not used for trace element calibration (unnaturally high trace element concentrations → single-point calibration artefact); Fe oxide stoichiometry estimated rather than measured for normalization</t>
  </si>
  <si>
    <t>LA-MC-ICP-MS method limited to samples with ⁸⁷Rb/⁸⁶Sr &lt;1 (Rb interference correction breaks down above this threshold); SUIA (Smallest Unit Isochron Age) data reduction method developed to handle heterogeneous Rb/Sr distributions in natural minerals; method complementary to U-Pb dating targeting common rock-forming phases (plagioclase, pyroxene, glass) rather than rare U-Pb-bearing minerals</t>
  </si>
  <si>
    <t>Protocol Level Tiers</t>
  </si>
  <si>
    <t>Analysis Level Tiers</t>
  </si>
  <si>
    <t>Mandatory input by user.</t>
  </si>
  <si>
    <t>Read-only</t>
  </si>
  <si>
    <t>Imported directly from selected protocol, cannot be changed by user</t>
  </si>
  <si>
    <t>Optional input by user.</t>
  </si>
  <si>
    <t>Imported directly from selected protocol, can be changed by user within range allowed by protocol or reasonable values. Inherit protocol tier (basic/advanced), thus cannot be void if protocol tier is "basic".</t>
  </si>
  <si>
    <t>Not applicable to a protocol</t>
  </si>
  <si>
    <t>Not Applicable to an analysis</t>
  </si>
  <si>
    <t>Last update: 05/04/2026</t>
  </si>
  <si>
    <t>e.g., 800 W | 1200 W | 1350 W | 1550 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</si>
</sst>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charset val="1"/>
    </font>
    <font>
      <sz val="10"/>
      <name val="Arial"/>
      <family val="2"/>
    </font>
    <font>
      <b/>
      <sz val="11"/>
      <color rgb="FF000000"/>
      <name val="Arial"/>
      <family val="2"/>
      <charset val="1"/>
    </font>
    <font>
      <sz val="11"/>
      <color rgb="FF000000"/>
      <name val="Arial"/>
      <family val="2"/>
      <charset val="1"/>
    </font>
    <font>
      <b/>
      <sz val="11"/>
      <color rgb="FF375623"/>
      <name val="Arial"/>
      <family val="2"/>
      <charset val="1"/>
    </font>
    <font>
      <sz val="12"/>
      <color rgb="FF006100"/>
      <name val="Calibri"/>
      <family val="2"/>
      <scheme val="minor"/>
    </font>
    <font>
      <sz val="12"/>
      <color rgb="FF9C0006"/>
      <name val="Calibri"/>
      <family val="2"/>
      <scheme val="minor"/>
    </font>
    <font>
      <b/>
      <sz val="11"/>
      <color rgb="FFFFFFFF"/>
      <name val="Arial"/>
      <family val="2"/>
    </font>
    <font>
      <sz val="11"/>
      <name val="Arial"/>
      <family val="2"/>
    </font>
    <font>
      <b/>
      <sz val="11"/>
      <name val="Arial"/>
      <family val="2"/>
    </font>
    <font>
      <sz val="11"/>
      <color rgb="FFFF0000"/>
      <name val="Arial"/>
      <family val="2"/>
    </font>
    <font>
      <sz val="11"/>
      <color theme="1"/>
      <name val="Arial"/>
      <family val="2"/>
    </font>
    <font>
      <b/>
      <sz val="11"/>
      <color theme="1"/>
      <name val="Arial"/>
      <family val="2"/>
    </font>
    <font>
      <b/>
      <sz val="11"/>
      <color rgb="FF000000"/>
      <name val="Arial"/>
      <family val="2"/>
    </font>
    <font>
      <sz val="11"/>
      <color rgb="FF000000"/>
      <name val="Arial"/>
      <family val="2"/>
    </font>
    <font>
      <b/>
      <sz val="11"/>
      <color rgb="FFC00000"/>
      <name val="Arial"/>
      <family val="2"/>
    </font>
    <font>
      <b/>
      <sz val="11"/>
      <color rgb="FF375623"/>
      <name val="Arial"/>
      <family val="2"/>
    </font>
    <font>
      <b/>
      <sz val="11"/>
      <color rgb="FF276221"/>
      <name val="Arial"/>
      <family val="2"/>
    </font>
    <font>
      <b/>
      <sz val="11"/>
      <color rgb="FF0070C0"/>
      <name val="Arial"/>
      <family val="2"/>
    </font>
  </fonts>
  <fills count="39">
    <fill>
      <patternFill patternType="none"/>
    </fill>
    <fill>
      <patternFill patternType="gray125"/>
    </fill>
    <fill>
      <patternFill patternType="solid">
        <fgColor rgb="FF1F4E79"/>
        <bgColor rgb="FF003366"/>
      </patternFill>
    </fill>
    <fill>
      <patternFill patternType="solid">
        <fgColor rgb="FF4472C4"/>
        <bgColor rgb="FF2E75B6"/>
      </patternFill>
    </fill>
    <fill>
      <patternFill patternType="solid">
        <fgColor rgb="FF8DB4E2"/>
        <bgColor rgb="FFB3A2C7"/>
      </patternFill>
    </fill>
    <fill>
      <patternFill patternType="solid">
        <fgColor rgb="FF2E75B6"/>
        <bgColor rgb="FF4472C4"/>
      </patternFill>
    </fill>
    <fill>
      <patternFill patternType="solid">
        <fgColor rgb="FFFFC7CE"/>
        <bgColor rgb="FFFFCCCC"/>
      </patternFill>
    </fill>
    <fill>
      <patternFill patternType="solid">
        <fgColor rgb="FFC6EFCE"/>
        <bgColor rgb="FFDCE6F1"/>
      </patternFill>
    </fill>
    <fill>
      <patternFill patternType="solid">
        <fgColor rgb="FFDCE6F1"/>
        <bgColor rgb="FFE6E0EC"/>
      </patternFill>
    </fill>
    <fill>
      <patternFill patternType="solid">
        <fgColor rgb="FFFABF8F"/>
        <bgColor rgb="FFFFC7CE"/>
      </patternFill>
    </fill>
    <fill>
      <patternFill patternType="solid">
        <fgColor rgb="FFD9D9D9"/>
        <bgColor rgb="FFE6E0EC"/>
      </patternFill>
    </fill>
    <fill>
      <patternFill patternType="solid">
        <fgColor theme="6" tint="0.39988402966399123"/>
        <bgColor rgb="FFBFBFBF"/>
      </patternFill>
    </fill>
    <fill>
      <patternFill patternType="solid">
        <fgColor theme="7" tint="0.39988402966399123"/>
        <bgColor rgb="FFBFBFBF"/>
      </patternFill>
    </fill>
    <fill>
      <patternFill patternType="solid">
        <fgColor theme="0" tint="-0.249977111117893"/>
        <bgColor rgb="FFC3D69B"/>
      </patternFill>
    </fill>
    <fill>
      <patternFill patternType="solid">
        <fgColor rgb="FFDA9694"/>
        <bgColor rgb="FFB3A2C7"/>
      </patternFill>
    </fill>
    <fill>
      <patternFill patternType="solid">
        <fgColor rgb="FFC6EFCE"/>
      </patternFill>
    </fill>
    <fill>
      <patternFill patternType="solid">
        <fgColor rgb="FFFFC7CE"/>
      </patternFill>
    </fill>
    <fill>
      <patternFill patternType="solid">
        <fgColor rgb="FFC6EFCE"/>
      </patternFill>
    </fill>
    <fill>
      <patternFill patternType="solid">
        <fgColor rgb="FFD9D9D9"/>
      </patternFill>
    </fill>
    <fill>
      <patternFill patternType="solid">
        <fgColor rgb="FFF2DDDC"/>
        <bgColor indexed="64"/>
      </patternFill>
    </fill>
    <fill>
      <patternFill patternType="solid">
        <fgColor theme="4" tint="0.59999389629810485"/>
        <bgColor rgb="FFB3A2C7"/>
      </patternFill>
    </fill>
    <fill>
      <patternFill patternType="solid">
        <fgColor theme="4" tint="0.59999389629810485"/>
        <bgColor rgb="FFE6E0EC"/>
      </patternFill>
    </fill>
    <fill>
      <patternFill patternType="solid">
        <fgColor theme="9" tint="0.59999389629810485"/>
        <bgColor rgb="FFFFC7CE"/>
      </patternFill>
    </fill>
    <fill>
      <patternFill patternType="solid">
        <fgColor theme="9" tint="0.59999389629810485"/>
        <bgColor rgb="FFB3A2C7"/>
      </patternFill>
    </fill>
    <fill>
      <patternFill patternType="solid">
        <fgColor theme="9" tint="0.59999389629810485"/>
        <bgColor rgb="FFEBF1DE"/>
      </patternFill>
    </fill>
    <fill>
      <patternFill patternType="solid">
        <fgColor theme="6" tint="0.59999389629810485"/>
        <bgColor rgb="FFBFBFBF"/>
      </patternFill>
    </fill>
    <fill>
      <patternFill patternType="solid">
        <fgColor theme="6" tint="0.59999389629810485"/>
        <bgColor rgb="FFF2F2F2"/>
      </patternFill>
    </fill>
    <fill>
      <patternFill patternType="solid">
        <fgColor theme="7" tint="0.79998168889431442"/>
        <bgColor rgb="FFBFBFBF"/>
      </patternFill>
    </fill>
    <fill>
      <patternFill patternType="solid">
        <fgColor theme="7" tint="0.79998168889431442"/>
        <bgColor indexed="64"/>
      </patternFill>
    </fill>
    <fill>
      <patternFill patternType="solid">
        <fgColor theme="7" tint="0.79998168889431442"/>
        <bgColor rgb="FFDCE6F1"/>
      </patternFill>
    </fill>
    <fill>
      <patternFill patternType="solid">
        <fgColor theme="0" tint="-0.14999847407452621"/>
        <bgColor rgb="FFC3D69B"/>
      </patternFill>
    </fill>
    <fill>
      <patternFill patternType="solid">
        <fgColor theme="0" tint="-0.14999847407452621"/>
        <bgColor rgb="FFBFBFBF"/>
      </patternFill>
    </fill>
    <fill>
      <patternFill patternType="solid">
        <fgColor theme="0" tint="-0.14999847407452621"/>
        <bgColor indexed="64"/>
      </patternFill>
    </fill>
    <fill>
      <patternFill patternType="solid">
        <fgColor theme="0" tint="-0.14999847407452621"/>
        <bgColor rgb="FFEBF1DE"/>
      </patternFill>
    </fill>
    <fill>
      <patternFill patternType="solid">
        <fgColor theme="0" tint="-0.14999847407452621"/>
        <bgColor rgb="FFB3A2C7"/>
      </patternFill>
    </fill>
    <fill>
      <patternFill patternType="solid">
        <fgColor theme="4" tint="0.59999389629810485"/>
        <bgColor rgb="FFEBF1DE"/>
      </patternFill>
    </fill>
    <fill>
      <patternFill patternType="solid">
        <fgColor rgb="FFF2DDDC"/>
        <bgColor rgb="FFB3A2C7"/>
      </patternFill>
    </fill>
    <fill>
      <patternFill patternType="solid">
        <fgColor rgb="FFF2DDDC"/>
        <bgColor rgb="FFBFBFBF"/>
      </patternFill>
    </fill>
    <fill>
      <patternFill patternType="solid">
        <fgColor rgb="FFF2DDDC"/>
        <bgColor rgb="FFE6E0EC"/>
      </patternFill>
    </fill>
  </fills>
  <borders count="1">
    <border>
      <left/>
      <right/>
      <top/>
      <bottom/>
      <diagonal/>
    </border>
  </borders>
  <cellStyleXfs count="4">
    <xf numFmtId="0" fontId="0" fillId="0" borderId="0"/>
    <xf numFmtId="9" fontId="1" fillId="0" borderId="0"/>
    <xf numFmtId="0" fontId="5" fillId="17" borderId="0"/>
    <xf numFmtId="0" fontId="6" fillId="16" borderId="0"/>
  </cellStyleXfs>
  <cellXfs count="120">
    <xf numFmtId="0" fontId="0" fillId="0" borderId="0" xfId="0"/>
    <xf numFmtId="0" fontId="7" fillId="2" borderId="0" xfId="0" applyFont="1" applyFill="1" applyAlignment="1">
      <alignment horizontal="center" vertical="top" wrapText="1"/>
    </xf>
    <xf numFmtId="0" fontId="7" fillId="3" borderId="0" xfId="0" applyFont="1" applyFill="1" applyAlignment="1">
      <alignment horizontal="center" vertical="top" wrapText="1"/>
    </xf>
    <xf numFmtId="0" fontId="8" fillId="6" borderId="0" xfId="0" applyFont="1" applyFill="1" applyAlignment="1">
      <alignment vertical="top" wrapText="1"/>
    </xf>
    <xf numFmtId="0" fontId="8" fillId="7" borderId="0" xfId="0" applyFont="1" applyFill="1" applyAlignment="1">
      <alignment vertical="top" wrapText="1"/>
    </xf>
    <xf numFmtId="0" fontId="8" fillId="10" borderId="0" xfId="0" applyFont="1" applyFill="1" applyAlignment="1">
      <alignment vertical="top" wrapText="1"/>
    </xf>
    <xf numFmtId="0" fontId="7" fillId="2" borderId="0" xfId="0" applyFont="1" applyFill="1" applyAlignment="1">
      <alignment horizontal="center" vertical="center" wrapText="1"/>
    </xf>
    <xf numFmtId="0" fontId="10" fillId="0" borderId="0" xfId="0" applyFont="1" applyAlignment="1">
      <alignment horizontal="left" vertical="center" wrapText="1"/>
    </xf>
    <xf numFmtId="0" fontId="11" fillId="0" borderId="0" xfId="0" applyFont="1" applyAlignment="1">
      <alignment vertical="center"/>
    </xf>
    <xf numFmtId="0" fontId="11" fillId="2" borderId="0" xfId="0" applyFont="1" applyFill="1" applyAlignment="1">
      <alignment horizontal="left" vertical="center" wrapText="1"/>
    </xf>
    <xf numFmtId="0" fontId="11" fillId="5" borderId="0" xfId="0" applyFont="1" applyFill="1" applyAlignment="1">
      <alignment horizontal="left" vertical="center" wrapText="1"/>
    </xf>
    <xf numFmtId="0" fontId="11" fillId="5" borderId="0" xfId="0" applyFont="1" applyFill="1"/>
    <xf numFmtId="0" fontId="14" fillId="0" borderId="0" xfId="0" applyFont="1" applyAlignment="1">
      <alignment horizontal="left" vertical="center" wrapText="1"/>
    </xf>
    <xf numFmtId="0" fontId="13" fillId="8" borderId="0" xfId="0" applyFont="1" applyFill="1" applyAlignment="1">
      <alignment horizontal="left" vertical="center" wrapText="1"/>
    </xf>
    <xf numFmtId="0" fontId="14" fillId="8" borderId="0" xfId="0" applyFont="1" applyFill="1" applyAlignment="1">
      <alignment horizontal="left" vertical="center" wrapText="1"/>
    </xf>
    <xf numFmtId="0" fontId="17" fillId="15" borderId="0" xfId="0" applyFont="1" applyFill="1" applyAlignment="1">
      <alignment vertical="top" wrapText="1"/>
    </xf>
    <xf numFmtId="0" fontId="11" fillId="16" borderId="0" xfId="0" applyFont="1" applyFill="1" applyAlignment="1">
      <alignment vertical="top" wrapText="1"/>
    </xf>
    <xf numFmtId="0" fontId="11" fillId="17" borderId="0" xfId="0" applyFont="1" applyFill="1" applyAlignment="1">
      <alignment vertical="top" wrapText="1"/>
    </xf>
    <xf numFmtId="0" fontId="11" fillId="18" borderId="0" xfId="0" applyFont="1" applyFill="1" applyAlignment="1">
      <alignment vertical="top" wrapText="1"/>
    </xf>
    <xf numFmtId="0" fontId="12" fillId="13" borderId="0" xfId="0" applyFont="1" applyFill="1" applyAlignment="1">
      <alignment horizontal="center" vertical="center" wrapText="1"/>
    </xf>
    <xf numFmtId="0" fontId="13" fillId="14" borderId="0" xfId="0" applyFont="1" applyFill="1" applyAlignment="1">
      <alignment horizontal="center" vertical="center" wrapText="1"/>
    </xf>
    <xf numFmtId="0" fontId="11" fillId="0" borderId="0" xfId="0" applyFont="1" applyAlignment="1">
      <alignment horizontal="center" vertical="center"/>
    </xf>
    <xf numFmtId="9" fontId="1" fillId="0" borderId="0" xfId="1" applyAlignment="1">
      <alignment horizontal="center" vertical="center"/>
    </xf>
    <xf numFmtId="0" fontId="5" fillId="17" borderId="0" xfId="2" applyAlignment="1">
      <alignment vertical="top" wrapText="1"/>
    </xf>
    <xf numFmtId="0" fontId="9" fillId="19" borderId="0" xfId="0" applyFont="1" applyFill="1" applyAlignment="1">
      <alignment vertical="top" wrapText="1"/>
    </xf>
    <xf numFmtId="0" fontId="11" fillId="19" borderId="0" xfId="0" applyFont="1" applyFill="1" applyAlignment="1">
      <alignment vertical="top" wrapText="1"/>
    </xf>
    <xf numFmtId="0" fontId="12" fillId="4" borderId="0" xfId="0" applyFont="1" applyFill="1" applyAlignment="1">
      <alignment vertical="center" wrapText="1"/>
    </xf>
    <xf numFmtId="0" fontId="12" fillId="9" borderId="0" xfId="0" applyFont="1" applyFill="1" applyAlignment="1">
      <alignment vertical="center" wrapText="1"/>
    </xf>
    <xf numFmtId="0" fontId="12" fillId="11" borderId="0" xfId="0" applyFont="1" applyFill="1" applyAlignment="1">
      <alignment vertical="center" wrapText="1"/>
    </xf>
    <xf numFmtId="0" fontId="12" fillId="12" borderId="0" xfId="0" applyFont="1" applyFill="1" applyAlignment="1">
      <alignment vertical="center" wrapText="1"/>
    </xf>
    <xf numFmtId="0" fontId="12" fillId="13" borderId="0" xfId="0" applyFont="1" applyFill="1" applyAlignment="1">
      <alignment vertical="center" wrapText="1"/>
    </xf>
    <xf numFmtId="0" fontId="13" fillId="14" borderId="0" xfId="0" applyFont="1" applyFill="1" applyAlignment="1">
      <alignment vertical="center" wrapText="1"/>
    </xf>
    <xf numFmtId="0" fontId="5" fillId="17" borderId="0" xfId="2" applyAlignment="1">
      <alignment horizontal="left" vertical="center" wrapText="1"/>
    </xf>
    <xf numFmtId="0" fontId="6" fillId="16" borderId="0" xfId="3" applyAlignment="1">
      <alignment horizontal="left" vertical="center" wrapText="1"/>
    </xf>
    <xf numFmtId="0" fontId="13" fillId="20" borderId="0" xfId="0" applyFont="1" applyFill="1" applyAlignment="1">
      <alignment horizontal="left" vertical="center" wrapText="1"/>
    </xf>
    <xf numFmtId="0" fontId="14" fillId="20" borderId="0" xfId="0" applyFont="1" applyFill="1" applyAlignment="1">
      <alignment horizontal="left" vertical="center" wrapText="1"/>
    </xf>
    <xf numFmtId="0" fontId="13" fillId="21" borderId="0" xfId="0" applyFont="1" applyFill="1" applyAlignment="1">
      <alignment horizontal="left" vertical="center" wrapText="1"/>
    </xf>
    <xf numFmtId="0" fontId="14" fillId="21" borderId="0" xfId="0" applyFont="1" applyFill="1" applyAlignment="1">
      <alignment horizontal="left" vertical="center" wrapText="1"/>
    </xf>
    <xf numFmtId="0" fontId="13" fillId="22" borderId="0" xfId="0" applyFont="1" applyFill="1" applyAlignment="1">
      <alignment horizontal="left" vertical="center" wrapText="1"/>
    </xf>
    <xf numFmtId="0" fontId="14" fillId="22" borderId="0" xfId="0" applyFont="1" applyFill="1" applyAlignment="1">
      <alignment horizontal="left" vertical="center" wrapText="1"/>
    </xf>
    <xf numFmtId="0" fontId="13" fillId="24" borderId="0" xfId="0" applyFont="1" applyFill="1" applyAlignment="1">
      <alignment horizontal="left" vertical="center" wrapText="1"/>
    </xf>
    <xf numFmtId="0" fontId="14" fillId="24" borderId="0" xfId="0" applyFont="1" applyFill="1" applyAlignment="1">
      <alignment horizontal="left" vertical="center" wrapText="1"/>
    </xf>
    <xf numFmtId="0" fontId="13" fillId="25" borderId="0" xfId="0" applyFont="1" applyFill="1" applyAlignment="1">
      <alignment horizontal="left" vertical="center" wrapText="1"/>
    </xf>
    <xf numFmtId="0" fontId="14" fillId="25" borderId="0" xfId="0" applyFont="1" applyFill="1" applyAlignment="1">
      <alignment horizontal="left" vertical="center" wrapText="1"/>
    </xf>
    <xf numFmtId="0" fontId="13" fillId="26" borderId="0" xfId="0" applyFont="1" applyFill="1" applyAlignment="1">
      <alignment horizontal="left" vertical="center" wrapText="1"/>
    </xf>
    <xf numFmtId="0" fontId="14" fillId="26" borderId="0" xfId="0" applyFont="1" applyFill="1" applyAlignment="1">
      <alignment horizontal="left" vertical="center" wrapText="1"/>
    </xf>
    <xf numFmtId="0" fontId="13" fillId="27" borderId="0" xfId="0" applyFont="1" applyFill="1" applyAlignment="1">
      <alignment horizontal="left" vertical="center" wrapText="1"/>
    </xf>
    <xf numFmtId="0" fontId="14" fillId="27" borderId="0" xfId="0" applyFont="1" applyFill="1" applyAlignment="1">
      <alignment horizontal="left" vertical="center" wrapText="1"/>
    </xf>
    <xf numFmtId="0" fontId="9" fillId="28" borderId="0" xfId="0" applyFont="1" applyFill="1" applyAlignment="1">
      <alignment vertical="top" wrapText="1"/>
    </xf>
    <xf numFmtId="0" fontId="11" fillId="28" borderId="0" xfId="0" applyFont="1" applyFill="1" applyAlignment="1">
      <alignment vertical="top" wrapText="1"/>
    </xf>
    <xf numFmtId="0" fontId="13" fillId="29" borderId="0" xfId="0" applyFont="1" applyFill="1" applyAlignment="1">
      <alignment horizontal="left" vertical="center" wrapText="1"/>
    </xf>
    <xf numFmtId="0" fontId="14" fillId="29" borderId="0" xfId="0" applyFont="1" applyFill="1" applyAlignment="1">
      <alignment horizontal="left" vertical="center" wrapText="1"/>
    </xf>
    <xf numFmtId="0" fontId="13" fillId="30" borderId="0" xfId="0" applyFont="1" applyFill="1" applyAlignment="1">
      <alignment horizontal="left" vertical="center" wrapText="1"/>
    </xf>
    <xf numFmtId="0" fontId="14" fillId="30" borderId="0" xfId="0" applyFont="1" applyFill="1" applyAlignment="1">
      <alignment horizontal="left" vertical="center" wrapText="1"/>
    </xf>
    <xf numFmtId="0" fontId="11" fillId="32" borderId="0" xfId="0" applyFont="1" applyFill="1" applyAlignment="1">
      <alignment vertical="top" wrapText="1"/>
    </xf>
    <xf numFmtId="0" fontId="13" fillId="33" borderId="0" xfId="0" applyFont="1" applyFill="1" applyAlignment="1">
      <alignment horizontal="left" vertical="center" wrapText="1"/>
    </xf>
    <xf numFmtId="0" fontId="14" fillId="33" borderId="0" xfId="0" applyFont="1" applyFill="1" applyAlignment="1">
      <alignment horizontal="left" vertical="center" wrapText="1"/>
    </xf>
    <xf numFmtId="0" fontId="2" fillId="33" borderId="0" xfId="0" applyFont="1" applyFill="1" applyAlignment="1">
      <alignment horizontal="left" vertical="center" wrapText="1"/>
    </xf>
    <xf numFmtId="0" fontId="3" fillId="33" borderId="0" xfId="0" applyFont="1" applyFill="1" applyAlignment="1">
      <alignment horizontal="left" vertical="center" wrapText="1"/>
    </xf>
    <xf numFmtId="0" fontId="13" fillId="31" borderId="0" xfId="0" applyFont="1" applyFill="1" applyAlignment="1">
      <alignment vertical="center" wrapText="1"/>
    </xf>
    <xf numFmtId="0" fontId="3" fillId="31" borderId="0" xfId="0" applyFont="1" applyFill="1" applyAlignment="1">
      <alignment horizontal="left" vertical="center" wrapText="1"/>
    </xf>
    <xf numFmtId="0" fontId="15" fillId="20" borderId="0" xfId="0" applyFont="1" applyFill="1" applyAlignment="1">
      <alignment horizontal="center" vertical="center" wrapText="1"/>
    </xf>
    <xf numFmtId="0" fontId="12" fillId="20" borderId="0" xfId="0" applyFont="1" applyFill="1" applyAlignment="1">
      <alignment horizontal="center" vertical="center" wrapText="1"/>
    </xf>
    <xf numFmtId="0" fontId="18" fillId="35" borderId="0" xfId="0" applyFont="1" applyFill="1" applyAlignment="1">
      <alignment horizontal="center" vertical="center" wrapText="1"/>
    </xf>
    <xf numFmtId="0" fontId="16" fillId="21" borderId="0" xfId="0" applyFont="1" applyFill="1" applyAlignment="1">
      <alignment horizontal="center" vertical="center" wrapText="1"/>
    </xf>
    <xf numFmtId="0" fontId="15" fillId="22" borderId="0" xfId="0" applyFont="1" applyFill="1" applyAlignment="1">
      <alignment horizontal="center" vertical="center" wrapText="1"/>
    </xf>
    <xf numFmtId="0" fontId="12" fillId="23" borderId="0" xfId="0" applyFont="1" applyFill="1" applyAlignment="1">
      <alignment horizontal="center" vertical="center" wrapText="1"/>
    </xf>
    <xf numFmtId="0" fontId="18" fillId="24" borderId="0" xfId="0" applyFont="1" applyFill="1" applyAlignment="1">
      <alignment horizontal="center" vertical="center" wrapText="1"/>
    </xf>
    <xf numFmtId="0" fontId="16" fillId="24" borderId="0" xfId="0" applyFont="1" applyFill="1" applyAlignment="1">
      <alignment horizontal="center" vertical="center" wrapText="1"/>
    </xf>
    <xf numFmtId="0" fontId="15" fillId="25" borderId="0" xfId="0" applyFont="1" applyFill="1" applyAlignment="1">
      <alignment horizontal="center" vertical="center" wrapText="1"/>
    </xf>
    <xf numFmtId="0" fontId="12" fillId="25" borderId="0" xfId="0" applyFont="1" applyFill="1" applyAlignment="1">
      <alignment horizontal="center" vertical="center" wrapText="1"/>
    </xf>
    <xf numFmtId="0" fontId="18" fillId="25" borderId="0" xfId="0" applyFont="1" applyFill="1" applyAlignment="1">
      <alignment horizontal="center" vertical="center" wrapText="1"/>
    </xf>
    <xf numFmtId="0" fontId="16" fillId="26" borderId="0" xfId="0" applyFont="1" applyFill="1" applyAlignment="1">
      <alignment horizontal="center" vertical="center" wrapText="1"/>
    </xf>
    <xf numFmtId="0" fontId="15" fillId="27" borderId="0" xfId="0" applyFont="1" applyFill="1" applyAlignment="1">
      <alignment horizontal="center" vertical="center" wrapText="1"/>
    </xf>
    <xf numFmtId="0" fontId="18" fillId="27" borderId="0" xfId="0" applyFont="1" applyFill="1" applyAlignment="1">
      <alignment horizontal="center" vertical="center" wrapText="1"/>
    </xf>
    <xf numFmtId="0" fontId="12" fillId="27" borderId="0" xfId="0" applyFont="1" applyFill="1" applyAlignment="1">
      <alignment horizontal="center" vertical="center" wrapText="1"/>
    </xf>
    <xf numFmtId="0" fontId="16" fillId="29" borderId="0" xfId="0" applyFont="1" applyFill="1" applyAlignment="1">
      <alignment horizontal="center" vertical="center" wrapText="1"/>
    </xf>
    <xf numFmtId="0" fontId="15" fillId="30" borderId="0" xfId="0" applyFont="1" applyFill="1" applyAlignment="1">
      <alignment horizontal="center" vertical="center" wrapText="1"/>
    </xf>
    <xf numFmtId="0" fontId="12" fillId="31" borderId="0" xfId="0" applyFont="1" applyFill="1" applyAlignment="1">
      <alignment horizontal="center" vertical="center" wrapText="1"/>
    </xf>
    <xf numFmtId="0" fontId="16" fillId="33" borderId="0" xfId="0" applyFont="1" applyFill="1" applyAlignment="1">
      <alignment horizontal="center" vertical="center" wrapText="1"/>
    </xf>
    <xf numFmtId="0" fontId="12" fillId="34" borderId="0" xfId="0" applyFont="1" applyFill="1" applyAlignment="1">
      <alignment horizontal="center" vertical="center" wrapText="1"/>
    </xf>
    <xf numFmtId="0" fontId="4" fillId="33" borderId="0" xfId="0" applyFont="1" applyFill="1" applyAlignment="1">
      <alignment horizontal="center" vertical="center" wrapText="1"/>
    </xf>
    <xf numFmtId="0" fontId="18" fillId="31" borderId="0" xfId="0" applyFont="1" applyFill="1" applyAlignment="1">
      <alignment horizontal="center" vertical="center" wrapText="1"/>
    </xf>
    <xf numFmtId="0" fontId="16" fillId="8" borderId="0" xfId="0" applyFont="1" applyFill="1" applyAlignment="1">
      <alignment horizontal="center" vertical="center" wrapText="1"/>
    </xf>
    <xf numFmtId="0" fontId="16" fillId="28" borderId="0" xfId="0" applyFont="1" applyFill="1" applyAlignment="1">
      <alignment horizontal="center" vertical="center" wrapText="1"/>
    </xf>
    <xf numFmtId="0" fontId="15" fillId="28" borderId="0" xfId="0" applyFont="1" applyFill="1" applyAlignment="1">
      <alignment horizontal="center" vertical="center" wrapText="1"/>
    </xf>
    <xf numFmtId="0" fontId="16" fillId="32" borderId="0" xfId="0" applyFont="1" applyFill="1" applyAlignment="1">
      <alignment horizontal="center" vertical="center" wrapText="1"/>
    </xf>
    <xf numFmtId="0" fontId="16" fillId="19" borderId="0" xfId="0" applyFont="1" applyFill="1" applyAlignment="1">
      <alignment horizontal="center" vertical="center" wrapText="1"/>
    </xf>
    <xf numFmtId="0" fontId="11" fillId="28" borderId="0" xfId="0" applyFont="1" applyFill="1" applyAlignment="1">
      <alignment vertical="center" wrapText="1"/>
    </xf>
    <xf numFmtId="0" fontId="11" fillId="32" borderId="0" xfId="0" applyFont="1" applyFill="1" applyAlignment="1">
      <alignment vertical="center" wrapText="1"/>
    </xf>
    <xf numFmtId="0" fontId="11" fillId="19" borderId="0" xfId="0" applyFont="1" applyFill="1" applyAlignment="1">
      <alignment vertical="center" wrapText="1"/>
    </xf>
    <xf numFmtId="0" fontId="9" fillId="32" borderId="0" xfId="0" applyFont="1" applyFill="1" applyAlignment="1">
      <alignment vertical="center" wrapText="1"/>
    </xf>
    <xf numFmtId="0" fontId="13" fillId="36" borderId="0" xfId="0" applyFont="1" applyFill="1" applyAlignment="1">
      <alignment horizontal="left" vertical="center" wrapText="1"/>
    </xf>
    <xf numFmtId="0" fontId="14" fillId="36" borderId="0" xfId="0" applyFont="1" applyFill="1" applyAlignment="1">
      <alignment horizontal="left" vertical="center" wrapText="1"/>
    </xf>
    <xf numFmtId="0" fontId="15" fillId="36" borderId="0" xfId="0" applyFont="1" applyFill="1" applyAlignment="1">
      <alignment horizontal="center" vertical="center" wrapText="1"/>
    </xf>
    <xf numFmtId="0" fontId="18" fillId="37" borderId="0" xfId="0" applyFont="1" applyFill="1" applyAlignment="1">
      <alignment horizontal="center" vertical="center" wrapText="1"/>
    </xf>
    <xf numFmtId="0" fontId="13" fillId="38" borderId="0" xfId="0" applyFont="1" applyFill="1" applyAlignment="1">
      <alignment horizontal="left" vertical="center" wrapText="1"/>
    </xf>
    <xf numFmtId="0" fontId="14" fillId="38" borderId="0" xfId="0" applyFont="1" applyFill="1" applyAlignment="1">
      <alignment horizontal="left" vertical="center" wrapText="1"/>
    </xf>
    <xf numFmtId="0" fontId="16" fillId="38" borderId="0" xfId="0" applyFont="1" applyFill="1" applyAlignment="1">
      <alignment horizontal="center" vertical="center" wrapText="1"/>
    </xf>
    <xf numFmtId="0" fontId="12" fillId="28" borderId="0" xfId="0" applyFont="1" applyFill="1" applyAlignment="1">
      <alignment horizontal="center" vertical="center" wrapText="1"/>
    </xf>
    <xf numFmtId="0" fontId="14" fillId="20" borderId="0" xfId="0" applyFont="1" applyFill="1" applyAlignment="1">
      <alignment vertical="top" wrapText="1"/>
    </xf>
    <xf numFmtId="0" fontId="14" fillId="21" borderId="0" xfId="0" applyFont="1" applyFill="1" applyAlignment="1">
      <alignment vertical="top" wrapText="1"/>
    </xf>
    <xf numFmtId="0" fontId="14" fillId="22" borderId="0" xfId="0" applyFont="1" applyFill="1" applyAlignment="1">
      <alignment vertical="top" wrapText="1"/>
    </xf>
    <xf numFmtId="0" fontId="14" fillId="24" borderId="0" xfId="0" applyFont="1" applyFill="1" applyAlignment="1">
      <alignment vertical="top" wrapText="1"/>
    </xf>
    <xf numFmtId="0" fontId="14" fillId="25" borderId="0" xfId="0" applyFont="1" applyFill="1" applyAlignment="1">
      <alignment vertical="top" wrapText="1"/>
    </xf>
    <xf numFmtId="0" fontId="14" fillId="26" borderId="0" xfId="0" applyFont="1" applyFill="1" applyAlignment="1">
      <alignment vertical="top" wrapText="1"/>
    </xf>
    <xf numFmtId="0" fontId="14" fillId="27" borderId="0" xfId="0" applyFont="1" applyFill="1" applyAlignment="1">
      <alignment vertical="top" wrapText="1"/>
    </xf>
    <xf numFmtId="0" fontId="14" fillId="29" borderId="0" xfId="0" applyFont="1" applyFill="1" applyAlignment="1">
      <alignment vertical="top" wrapText="1"/>
    </xf>
    <xf numFmtId="0" fontId="14" fillId="30" borderId="0" xfId="0" applyFont="1" applyFill="1" applyAlignment="1">
      <alignment vertical="top" wrapText="1"/>
    </xf>
    <xf numFmtId="0" fontId="3" fillId="31" borderId="0" xfId="0" applyFont="1" applyFill="1" applyAlignment="1">
      <alignment vertical="top" wrapText="1"/>
    </xf>
    <xf numFmtId="0" fontId="14" fillId="33" borderId="0" xfId="0" applyFont="1" applyFill="1" applyAlignment="1">
      <alignment vertical="top" wrapText="1"/>
    </xf>
    <xf numFmtId="0" fontId="3" fillId="33" borderId="0" xfId="0" applyFont="1" applyFill="1" applyAlignment="1">
      <alignment vertical="top" wrapText="1"/>
    </xf>
    <xf numFmtId="0" fontId="14" fillId="36" borderId="0" xfId="0" applyFont="1" applyFill="1" applyAlignment="1">
      <alignment vertical="top" wrapText="1"/>
    </xf>
    <xf numFmtId="0" fontId="14" fillId="38" borderId="0" xfId="0" applyFont="1" applyFill="1" applyAlignment="1">
      <alignment vertical="top" wrapText="1"/>
    </xf>
    <xf numFmtId="0" fontId="14" fillId="8" borderId="0" xfId="0" applyFont="1" applyFill="1" applyAlignment="1">
      <alignment vertical="top" wrapText="1"/>
    </xf>
    <xf numFmtId="0" fontId="9" fillId="28" borderId="0" xfId="0" applyFont="1" applyFill="1" applyAlignment="1">
      <alignment vertical="center" wrapText="1"/>
    </xf>
    <xf numFmtId="0" fontId="14" fillId="29" borderId="0" xfId="0" applyFont="1" applyFill="1" applyAlignment="1">
      <alignment vertical="center" wrapText="1"/>
    </xf>
    <xf numFmtId="0" fontId="14" fillId="27" borderId="0" xfId="0" applyFont="1" applyFill="1" applyAlignment="1">
      <alignment vertical="center" wrapText="1"/>
    </xf>
    <xf numFmtId="0" fontId="14" fillId="20" borderId="0" xfId="0" applyFont="1" applyFill="1" applyAlignment="1">
      <alignment vertical="center" wrapText="1"/>
    </xf>
    <xf numFmtId="0" fontId="14" fillId="24" borderId="0" xfId="0" applyFont="1" applyFill="1" applyAlignment="1">
      <alignment vertical="center" wrapText="1"/>
    </xf>
  </cellXfs>
  <cellStyles count="4">
    <cellStyle name="Bad" xfId="3" builtinId="27"/>
    <cellStyle name="Good" xfId="2" builtinId="26"/>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DEADA"/>
      <rgbColor rgb="FFFF00FF"/>
      <rgbColor rgb="FF00FFFF"/>
      <rgbColor rgb="FF9C0006"/>
      <rgbColor rgb="FF276221"/>
      <rgbColor rgb="FF000080"/>
      <rgbColor rgb="FF808000"/>
      <rgbColor rgb="FF800080"/>
      <rgbColor rgb="FF008080"/>
      <rgbColor rgb="FFBFBFBF"/>
      <rgbColor rgb="FF808080"/>
      <rgbColor rgb="FFE6E0EC"/>
      <rgbColor rgb="FF993366"/>
      <rgbColor rgb="FFEBF1DE"/>
      <rgbColor rgb="FFDCE6F1"/>
      <rgbColor rgb="FF660066"/>
      <rgbColor rgb="FFDA9694"/>
      <rgbColor rgb="FF2E75B6"/>
      <rgbColor rgb="FFD9D9D9"/>
      <rgbColor rgb="FF000080"/>
      <rgbColor rgb="FFFF00FF"/>
      <rgbColor rgb="FFF2DCDB"/>
      <rgbColor rgb="FF00FFFF"/>
      <rgbColor rgb="FF800080"/>
      <rgbColor rgb="FFC00000"/>
      <rgbColor rgb="FF008080"/>
      <rgbColor rgb="FF0000FF"/>
      <rgbColor rgb="FF00CCFF"/>
      <rgbColor rgb="FFF2F2F2"/>
      <rgbColor rgb="FFC6EFCE"/>
      <rgbColor rgb="FFFFEB9C"/>
      <rgbColor rgb="FF8DB4E2"/>
      <rgbColor rgb="FFFFC7CE"/>
      <rgbColor rgb="FFB3A2C7"/>
      <rgbColor rgb="FFFABF8F"/>
      <rgbColor rgb="FF4472C4"/>
      <rgbColor rgb="FF33CCCC"/>
      <rgbColor rgb="FF99CC00"/>
      <rgbColor rgb="FFFFCCCC"/>
      <rgbColor rgb="FFFF9900"/>
      <rgbColor rgb="FFFF6600"/>
      <rgbColor rgb="FF595959"/>
      <rgbColor rgb="FFC3D69B"/>
      <rgbColor rgb="FF003366"/>
      <rgbColor rgb="FF339966"/>
      <rgbColor rgb="FF003300"/>
      <rgbColor rgb="FF333300"/>
      <rgbColor rgb="FF7D4C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
  <sheetViews>
    <sheetView tabSelected="1" zoomScale="125" zoomScaleNormal="134" workbookViewId="0">
      <pane ySplit="1" topLeftCell="A89" activePane="bottomLeft" state="frozen"/>
      <selection pane="bottomLeft" activeCell="E55" sqref="E55"/>
    </sheetView>
  </sheetViews>
  <sheetFormatPr baseColWidth="10" defaultColWidth="40" defaultRowHeight="14" x14ac:dyDescent="0.2"/>
  <cols>
    <col min="1" max="1" width="30" style="8" customWidth="1"/>
    <col min="2" max="2" width="52" style="8" customWidth="1"/>
    <col min="3" max="4" width="14.5" style="21" customWidth="1"/>
    <col min="5" max="5" width="22" style="8" customWidth="1"/>
    <col min="6" max="6" width="49.33203125" style="8" customWidth="1"/>
    <col min="7" max="10" width="18" style="8" customWidth="1"/>
    <col min="11" max="21" width="40" style="8" customWidth="1"/>
    <col min="22" max="22" width="18" style="8" customWidth="1"/>
    <col min="23" max="23" width="40" style="8" customWidth="1"/>
    <col min="24" max="16384" width="40" style="8"/>
  </cols>
  <sheetData>
    <row r="1" spans="1:22" ht="79.5" customHeight="1" x14ac:dyDescent="0.2">
      <c r="A1" s="6" t="s">
        <v>0</v>
      </c>
      <c r="B1" s="6" t="s">
        <v>1</v>
      </c>
      <c r="C1" s="6" t="s">
        <v>2</v>
      </c>
      <c r="D1" s="6" t="s">
        <v>3</v>
      </c>
      <c r="E1" s="6" t="s">
        <v>4</v>
      </c>
      <c r="F1" s="6" t="s">
        <v>5</v>
      </c>
      <c r="G1" s="7" t="s">
        <v>704</v>
      </c>
      <c r="H1" s="7" t="s">
        <v>6</v>
      </c>
      <c r="I1" s="7" t="s">
        <v>7</v>
      </c>
      <c r="J1" s="7" t="s">
        <v>8</v>
      </c>
      <c r="K1" s="1" t="s">
        <v>9</v>
      </c>
      <c r="L1" s="1" t="s">
        <v>10</v>
      </c>
      <c r="M1" s="1" t="s">
        <v>11</v>
      </c>
      <c r="N1" s="1" t="s">
        <v>12</v>
      </c>
      <c r="O1" s="1" t="s">
        <v>13</v>
      </c>
      <c r="P1" s="2" t="s">
        <v>14</v>
      </c>
      <c r="Q1" s="2" t="s">
        <v>15</v>
      </c>
      <c r="R1" s="2" t="s">
        <v>16</v>
      </c>
      <c r="S1" s="2" t="s">
        <v>17</v>
      </c>
      <c r="T1" s="2" t="s">
        <v>18</v>
      </c>
      <c r="V1" s="7" t="s">
        <v>19</v>
      </c>
    </row>
    <row r="2" spans="1:22" ht="45" customHeight="1" x14ac:dyDescent="0.15">
      <c r="A2" s="26" t="s">
        <v>20</v>
      </c>
      <c r="G2" s="9"/>
      <c r="H2" s="9"/>
      <c r="I2" s="9"/>
      <c r="J2" s="9"/>
      <c r="K2" s="10"/>
      <c r="L2" s="11"/>
      <c r="M2" s="11"/>
      <c r="N2" s="11"/>
      <c r="O2" s="11"/>
      <c r="V2" s="9"/>
    </row>
    <row r="3" spans="1:22" ht="45" customHeight="1" x14ac:dyDescent="0.2">
      <c r="A3" s="34" t="s">
        <v>21</v>
      </c>
      <c r="B3" s="100" t="s">
        <v>22</v>
      </c>
      <c r="C3" s="61" t="s">
        <v>23</v>
      </c>
      <c r="D3" s="62" t="s">
        <v>24</v>
      </c>
      <c r="E3" s="35" t="s">
        <v>25</v>
      </c>
      <c r="F3" s="100" t="s">
        <v>26</v>
      </c>
      <c r="G3" s="12"/>
      <c r="H3" s="32" t="s">
        <v>27</v>
      </c>
      <c r="I3" s="32" t="s">
        <v>27</v>
      </c>
      <c r="J3" s="32" t="s">
        <v>27</v>
      </c>
      <c r="K3" s="3" t="s">
        <v>28</v>
      </c>
      <c r="L3" s="3" t="s">
        <v>28</v>
      </c>
      <c r="M3" s="3" t="s">
        <v>28</v>
      </c>
      <c r="N3" s="3" t="s">
        <v>28</v>
      </c>
      <c r="O3" s="3" t="s">
        <v>28</v>
      </c>
      <c r="P3" s="3" t="s">
        <v>28</v>
      </c>
      <c r="Q3" s="3" t="s">
        <v>28</v>
      </c>
      <c r="R3" s="3" t="s">
        <v>28</v>
      </c>
      <c r="S3" s="3" t="s">
        <v>28</v>
      </c>
      <c r="T3" s="3" t="s">
        <v>28</v>
      </c>
      <c r="V3" s="22">
        <f>(10-COUNTIF(K3:T3,"N")-COUNTIF(K3:T3,"N/A"))/(10-COUNTIF(K3:T3,"N/A"))</f>
        <v>0</v>
      </c>
    </row>
    <row r="4" spans="1:22" ht="45" customHeight="1" x14ac:dyDescent="0.2">
      <c r="A4" s="34" t="s">
        <v>29</v>
      </c>
      <c r="B4" s="35" t="s">
        <v>30</v>
      </c>
      <c r="C4" s="61" t="s">
        <v>23</v>
      </c>
      <c r="D4" s="62" t="s">
        <v>24</v>
      </c>
      <c r="E4" s="35" t="s">
        <v>31</v>
      </c>
      <c r="F4" s="100" t="s">
        <v>32</v>
      </c>
      <c r="G4" s="12"/>
      <c r="H4" s="32" t="s">
        <v>27</v>
      </c>
      <c r="I4" s="32" t="s">
        <v>27</v>
      </c>
      <c r="J4" s="32" t="s">
        <v>27</v>
      </c>
      <c r="K4" s="4" t="s">
        <v>33</v>
      </c>
      <c r="L4" s="4" t="s">
        <v>33</v>
      </c>
      <c r="M4" s="4" t="s">
        <v>34</v>
      </c>
      <c r="N4" s="4" t="s">
        <v>33</v>
      </c>
      <c r="O4" s="4" t="s">
        <v>34</v>
      </c>
      <c r="P4" s="4" t="s">
        <v>35</v>
      </c>
      <c r="Q4" s="4" t="s">
        <v>34</v>
      </c>
      <c r="R4" s="4" t="s">
        <v>33</v>
      </c>
      <c r="S4" s="4" t="s">
        <v>36</v>
      </c>
      <c r="T4" s="4" t="s">
        <v>37</v>
      </c>
      <c r="V4" s="22">
        <f>(10-COUNTIF(K4:T4,"N")-COUNTIF(K4:T4,"N/A"))/(10-COUNTIF(K4:T4,"N/A"))</f>
        <v>1</v>
      </c>
    </row>
    <row r="5" spans="1:22" ht="45" customHeight="1" x14ac:dyDescent="0.2">
      <c r="A5" s="34" t="s">
        <v>38</v>
      </c>
      <c r="B5" s="100" t="s">
        <v>39</v>
      </c>
      <c r="C5" s="61" t="s">
        <v>23</v>
      </c>
      <c r="D5" s="62" t="s">
        <v>24</v>
      </c>
      <c r="E5" s="35" t="s">
        <v>25</v>
      </c>
      <c r="F5" s="100" t="s">
        <v>40</v>
      </c>
      <c r="G5" s="12"/>
      <c r="H5" s="32" t="s">
        <v>27</v>
      </c>
      <c r="I5" s="32" t="s">
        <v>27</v>
      </c>
      <c r="J5" s="32" t="s">
        <v>27</v>
      </c>
      <c r="K5" s="3" t="s">
        <v>28</v>
      </c>
      <c r="L5" s="3" t="s">
        <v>28</v>
      </c>
      <c r="M5" s="3" t="s">
        <v>28</v>
      </c>
      <c r="N5" s="3" t="s">
        <v>28</v>
      </c>
      <c r="O5" s="3" t="s">
        <v>28</v>
      </c>
      <c r="P5" s="3" t="s">
        <v>28</v>
      </c>
      <c r="Q5" s="3" t="s">
        <v>28</v>
      </c>
      <c r="R5" s="3" t="s">
        <v>28</v>
      </c>
      <c r="S5" s="3" t="s">
        <v>28</v>
      </c>
      <c r="T5" s="3" t="s">
        <v>28</v>
      </c>
      <c r="V5" s="22">
        <f>(10-COUNTIF(K5:T5,"N")-COUNTIF(K5:T5,"N/A"))/(10-COUNTIF(K5:T5,"N/A"))</f>
        <v>0</v>
      </c>
    </row>
    <row r="6" spans="1:22" ht="45" customHeight="1" x14ac:dyDescent="0.2">
      <c r="A6" s="34" t="s">
        <v>41</v>
      </c>
      <c r="B6" s="100" t="s">
        <v>42</v>
      </c>
      <c r="C6" s="62" t="s">
        <v>43</v>
      </c>
      <c r="D6" s="61" t="s">
        <v>23</v>
      </c>
      <c r="E6" s="35" t="s">
        <v>25</v>
      </c>
      <c r="F6" s="118" t="s">
        <v>44</v>
      </c>
      <c r="G6" s="12"/>
      <c r="H6" s="32" t="s">
        <v>27</v>
      </c>
      <c r="I6" s="32" t="s">
        <v>27</v>
      </c>
      <c r="J6" s="32" t="s">
        <v>27</v>
      </c>
      <c r="K6" s="3"/>
      <c r="L6" s="3"/>
      <c r="M6" s="3"/>
      <c r="N6" s="3"/>
      <c r="O6" s="3"/>
      <c r="P6" s="3"/>
      <c r="Q6" s="3"/>
      <c r="R6" s="3"/>
      <c r="S6" s="3"/>
      <c r="T6" s="3"/>
      <c r="V6" s="22"/>
    </row>
    <row r="7" spans="1:22" ht="45" customHeight="1" x14ac:dyDescent="0.2">
      <c r="A7" s="34" t="s">
        <v>45</v>
      </c>
      <c r="B7" s="35" t="s">
        <v>46</v>
      </c>
      <c r="C7" s="61" t="s">
        <v>23</v>
      </c>
      <c r="D7" s="63" t="s">
        <v>47</v>
      </c>
      <c r="E7" s="35" t="s">
        <v>25</v>
      </c>
      <c r="F7" s="35" t="s">
        <v>48</v>
      </c>
      <c r="G7" s="12"/>
      <c r="H7" s="32" t="s">
        <v>27</v>
      </c>
      <c r="I7" s="32" t="s">
        <v>27</v>
      </c>
      <c r="J7" s="32" t="s">
        <v>27</v>
      </c>
      <c r="K7" s="4" t="s">
        <v>49</v>
      </c>
      <c r="L7" s="4" t="s">
        <v>50</v>
      </c>
      <c r="M7" s="4" t="s">
        <v>51</v>
      </c>
      <c r="N7" s="4" t="s">
        <v>52</v>
      </c>
      <c r="O7" s="4" t="s">
        <v>53</v>
      </c>
      <c r="P7" s="4" t="s">
        <v>50</v>
      </c>
      <c r="Q7" s="4" t="s">
        <v>54</v>
      </c>
      <c r="R7" s="4" t="s">
        <v>55</v>
      </c>
      <c r="S7" s="4" t="s">
        <v>56</v>
      </c>
      <c r="T7" s="4" t="s">
        <v>57</v>
      </c>
      <c r="V7" s="22">
        <f>(10-COUNTIF(K7:T7,"N")-COUNTIF(K7:T7,"N/A"))/(10-COUNTIF(K7:T7,"N/A"))</f>
        <v>1</v>
      </c>
    </row>
    <row r="8" spans="1:22" ht="45" customHeight="1" x14ac:dyDescent="0.2">
      <c r="A8" s="36" t="s">
        <v>58</v>
      </c>
      <c r="B8" s="37" t="s">
        <v>59</v>
      </c>
      <c r="C8" s="64" t="s">
        <v>60</v>
      </c>
      <c r="D8" s="63" t="s">
        <v>47</v>
      </c>
      <c r="E8" s="37" t="s">
        <v>61</v>
      </c>
      <c r="F8" s="37" t="s">
        <v>62</v>
      </c>
      <c r="G8" s="12"/>
      <c r="H8" s="32" t="s">
        <v>27</v>
      </c>
      <c r="I8" s="32" t="s">
        <v>27</v>
      </c>
      <c r="J8" s="32" t="s">
        <v>27</v>
      </c>
      <c r="K8" s="3" t="s">
        <v>28</v>
      </c>
      <c r="L8" s="3" t="s">
        <v>28</v>
      </c>
      <c r="M8" s="3" t="s">
        <v>28</v>
      </c>
      <c r="N8" s="3" t="s">
        <v>28</v>
      </c>
      <c r="O8" s="3" t="s">
        <v>28</v>
      </c>
      <c r="P8" s="3" t="s">
        <v>28</v>
      </c>
      <c r="Q8" s="3" t="s">
        <v>28</v>
      </c>
      <c r="R8" s="3" t="s">
        <v>28</v>
      </c>
      <c r="S8" s="3" t="s">
        <v>28</v>
      </c>
      <c r="T8" s="3" t="s">
        <v>28</v>
      </c>
      <c r="V8" s="22">
        <f>(10-COUNTIF(K8:T8,"N")-COUNTIF(K8:T8,"N/A"))/(10-COUNTIF(K8:T8,"N/A"))</f>
        <v>0</v>
      </c>
    </row>
    <row r="9" spans="1:22" ht="45" customHeight="1" x14ac:dyDescent="0.2">
      <c r="A9" s="34" t="s">
        <v>63</v>
      </c>
      <c r="B9" s="35" t="s">
        <v>64</v>
      </c>
      <c r="C9" s="61" t="s">
        <v>23</v>
      </c>
      <c r="D9" s="62" t="s">
        <v>24</v>
      </c>
      <c r="E9" s="35" t="s">
        <v>65</v>
      </c>
      <c r="F9" s="35" t="s">
        <v>66</v>
      </c>
      <c r="G9" s="12"/>
      <c r="H9" s="32" t="s">
        <v>27</v>
      </c>
      <c r="I9" s="32" t="s">
        <v>27</v>
      </c>
      <c r="J9" s="32" t="s">
        <v>27</v>
      </c>
      <c r="K9" s="3" t="s">
        <v>28</v>
      </c>
      <c r="L9" s="3" t="s">
        <v>28</v>
      </c>
      <c r="M9" s="3" t="s">
        <v>28</v>
      </c>
      <c r="N9" s="3" t="s">
        <v>28</v>
      </c>
      <c r="O9" s="3" t="s">
        <v>28</v>
      </c>
      <c r="P9" s="3" t="s">
        <v>28</v>
      </c>
      <c r="Q9" s="3" t="s">
        <v>28</v>
      </c>
      <c r="R9" s="3" t="s">
        <v>28</v>
      </c>
      <c r="S9" s="3" t="s">
        <v>28</v>
      </c>
      <c r="T9" s="3" t="s">
        <v>28</v>
      </c>
      <c r="V9" s="22">
        <f>(10-COUNTIF(K9:T9,"N")-COUNTIF(K9:T9,"N/A"))/(10-COUNTIF(K9:T9,"N/A"))</f>
        <v>0</v>
      </c>
    </row>
    <row r="10" spans="1:22" ht="45" customHeight="1" x14ac:dyDescent="0.2">
      <c r="A10" s="34" t="s">
        <v>67</v>
      </c>
      <c r="B10" s="100" t="s">
        <v>68</v>
      </c>
      <c r="C10" s="62" t="s">
        <v>43</v>
      </c>
      <c r="D10" s="61" t="s">
        <v>23</v>
      </c>
      <c r="E10" s="35" t="s">
        <v>65</v>
      </c>
      <c r="F10" s="35" t="s">
        <v>66</v>
      </c>
      <c r="G10" s="12"/>
      <c r="H10" s="32" t="s">
        <v>27</v>
      </c>
      <c r="I10" s="32" t="s">
        <v>27</v>
      </c>
      <c r="J10" s="32" t="s">
        <v>27</v>
      </c>
      <c r="K10" s="3"/>
      <c r="L10" s="3"/>
      <c r="M10" s="3"/>
      <c r="N10" s="3"/>
      <c r="O10" s="3"/>
      <c r="P10" s="3"/>
      <c r="Q10" s="3"/>
      <c r="R10" s="3"/>
      <c r="S10" s="3"/>
      <c r="T10" s="3"/>
      <c r="V10" s="22"/>
    </row>
    <row r="11" spans="1:22" ht="45" customHeight="1" x14ac:dyDescent="0.2">
      <c r="A11" s="34" t="s">
        <v>69</v>
      </c>
      <c r="B11" s="100" t="s">
        <v>70</v>
      </c>
      <c r="C11" s="62" t="s">
        <v>43</v>
      </c>
      <c r="D11" s="61" t="s">
        <v>23</v>
      </c>
      <c r="E11" s="35" t="s">
        <v>65</v>
      </c>
      <c r="F11" s="35" t="s">
        <v>66</v>
      </c>
      <c r="G11" s="12"/>
      <c r="H11" s="32" t="s">
        <v>27</v>
      </c>
      <c r="I11" s="32" t="s">
        <v>27</v>
      </c>
      <c r="J11" s="32" t="s">
        <v>27</v>
      </c>
      <c r="K11" s="3"/>
      <c r="L11" s="3"/>
      <c r="M11" s="3"/>
      <c r="N11" s="3"/>
      <c r="O11" s="3"/>
      <c r="P11" s="3"/>
      <c r="Q11" s="3"/>
      <c r="R11" s="3"/>
      <c r="S11" s="3"/>
      <c r="T11" s="3"/>
      <c r="V11" s="22"/>
    </row>
    <row r="12" spans="1:22" ht="45" customHeight="1" x14ac:dyDescent="0.2">
      <c r="A12" s="36" t="s">
        <v>71</v>
      </c>
      <c r="B12" s="101" t="s">
        <v>72</v>
      </c>
      <c r="C12" s="62" t="s">
        <v>43</v>
      </c>
      <c r="D12" s="61" t="s">
        <v>23</v>
      </c>
      <c r="E12" s="37" t="s">
        <v>73</v>
      </c>
      <c r="F12" s="101" t="s">
        <v>74</v>
      </c>
      <c r="G12" s="12"/>
      <c r="H12" s="32" t="s">
        <v>27</v>
      </c>
      <c r="I12" s="32" t="s">
        <v>27</v>
      </c>
      <c r="J12" s="32" t="s">
        <v>27</v>
      </c>
      <c r="K12" s="3" t="s">
        <v>28</v>
      </c>
      <c r="L12" s="3" t="s">
        <v>28</v>
      </c>
      <c r="M12" s="3" t="s">
        <v>28</v>
      </c>
      <c r="N12" s="3" t="s">
        <v>28</v>
      </c>
      <c r="O12" s="3" t="s">
        <v>28</v>
      </c>
      <c r="P12" s="3" t="s">
        <v>28</v>
      </c>
      <c r="Q12" s="3" t="s">
        <v>28</v>
      </c>
      <c r="R12" s="3" t="s">
        <v>28</v>
      </c>
      <c r="S12" s="3" t="s">
        <v>28</v>
      </c>
      <c r="T12" s="3" t="s">
        <v>28</v>
      </c>
      <c r="V12" s="22">
        <f>(10-COUNTIF(K12:T12,"N")-COUNTIF(K12:T12,"N/A"))/(10-COUNTIF(K12:T12,"N/A"))</f>
        <v>0</v>
      </c>
    </row>
    <row r="13" spans="1:22" ht="45" customHeight="1" x14ac:dyDescent="0.2">
      <c r="A13" s="36" t="s">
        <v>75</v>
      </c>
      <c r="B13" s="101" t="s">
        <v>76</v>
      </c>
      <c r="C13" s="61" t="s">
        <v>23</v>
      </c>
      <c r="D13" s="62" t="s">
        <v>43</v>
      </c>
      <c r="E13" s="37" t="s">
        <v>25</v>
      </c>
      <c r="F13" s="101" t="s">
        <v>77</v>
      </c>
      <c r="G13" s="12"/>
      <c r="H13" s="32" t="s">
        <v>27</v>
      </c>
      <c r="I13" s="32" t="s">
        <v>27</v>
      </c>
      <c r="J13" s="32" t="s">
        <v>27</v>
      </c>
    </row>
    <row r="14" spans="1:22" ht="45" customHeight="1" x14ac:dyDescent="0.2">
      <c r="A14" s="36" t="s">
        <v>78</v>
      </c>
      <c r="B14" s="101" t="s">
        <v>79</v>
      </c>
      <c r="C14" s="62" t="s">
        <v>43</v>
      </c>
      <c r="D14" s="61" t="s">
        <v>23</v>
      </c>
      <c r="E14" s="37" t="s">
        <v>25</v>
      </c>
      <c r="F14" s="101" t="s">
        <v>80</v>
      </c>
      <c r="G14" s="12"/>
      <c r="H14" s="32" t="s">
        <v>27</v>
      </c>
      <c r="I14" s="32" t="s">
        <v>27</v>
      </c>
      <c r="J14" s="32" t="s">
        <v>27</v>
      </c>
      <c r="K14" s="4" t="s">
        <v>81</v>
      </c>
      <c r="L14" s="15" t="s">
        <v>82</v>
      </c>
      <c r="M14" s="4" t="s">
        <v>83</v>
      </c>
      <c r="N14" s="3" t="s">
        <v>28</v>
      </c>
      <c r="O14" s="4" t="s">
        <v>84</v>
      </c>
      <c r="P14" s="4" t="s">
        <v>85</v>
      </c>
      <c r="Q14" s="4" t="s">
        <v>86</v>
      </c>
      <c r="R14" s="4" t="s">
        <v>87</v>
      </c>
      <c r="S14" s="3" t="s">
        <v>28</v>
      </c>
      <c r="T14" s="4" t="s">
        <v>88</v>
      </c>
      <c r="V14" s="22">
        <f>(10-COUNTIF(K14:T14,"N")-COUNTIF(K14:T14,"N/A"))/(10-COUNTIF(K14:T14,"N/A"))</f>
        <v>0.8</v>
      </c>
    </row>
    <row r="15" spans="1:22" ht="45" customHeight="1" x14ac:dyDescent="0.2">
      <c r="A15" s="36" t="s">
        <v>89</v>
      </c>
      <c r="B15" s="101" t="s">
        <v>90</v>
      </c>
      <c r="C15" s="64" t="s">
        <v>60</v>
      </c>
      <c r="D15" s="62" t="s">
        <v>24</v>
      </c>
      <c r="E15" s="37" t="s">
        <v>73</v>
      </c>
      <c r="F15" s="37" t="s">
        <v>91</v>
      </c>
      <c r="G15" s="12"/>
      <c r="H15" s="32" t="s">
        <v>27</v>
      </c>
      <c r="I15" s="32" t="s">
        <v>27</v>
      </c>
      <c r="J15" s="32" t="s">
        <v>27</v>
      </c>
      <c r="K15" s="4" t="s">
        <v>92</v>
      </c>
      <c r="L15" s="4" t="s">
        <v>93</v>
      </c>
      <c r="M15" s="3" t="s">
        <v>28</v>
      </c>
      <c r="N15" s="3" t="s">
        <v>28</v>
      </c>
      <c r="O15" s="3" t="s">
        <v>28</v>
      </c>
      <c r="P15" s="4" t="s">
        <v>94</v>
      </c>
      <c r="Q15" s="3" t="s">
        <v>28</v>
      </c>
      <c r="R15" s="3" t="s">
        <v>28</v>
      </c>
      <c r="S15" s="3" t="s">
        <v>28</v>
      </c>
      <c r="T15" s="4" t="s">
        <v>95</v>
      </c>
      <c r="V15" s="22">
        <f>(10-COUNTIF(K15:T15,"N")-COUNTIF(K15:T15,"N/A"))/(10-COUNTIF(K15:T15,"N/A"))</f>
        <v>0.4</v>
      </c>
    </row>
    <row r="16" spans="1:22" ht="12" customHeight="1" x14ac:dyDescent="0.2"/>
    <row r="17" spans="1:22" ht="45" customHeight="1" x14ac:dyDescent="0.15">
      <c r="A17" s="27" t="s">
        <v>96</v>
      </c>
      <c r="G17" s="9"/>
      <c r="H17" s="9"/>
      <c r="I17" s="9"/>
      <c r="J17" s="9"/>
      <c r="K17" s="10"/>
      <c r="L17" s="11"/>
      <c r="M17" s="11"/>
      <c r="N17" s="11"/>
      <c r="O17" s="11"/>
      <c r="V17" s="9"/>
    </row>
    <row r="18" spans="1:22" ht="45" customHeight="1" x14ac:dyDescent="0.2">
      <c r="A18" s="38" t="s">
        <v>97</v>
      </c>
      <c r="B18" s="102" t="s">
        <v>98</v>
      </c>
      <c r="C18" s="65" t="s">
        <v>23</v>
      </c>
      <c r="D18" s="66" t="s">
        <v>24</v>
      </c>
      <c r="E18" s="39" t="s">
        <v>99</v>
      </c>
      <c r="F18" s="102" t="s">
        <v>100</v>
      </c>
      <c r="G18" s="12"/>
      <c r="H18" s="32" t="s">
        <v>27</v>
      </c>
      <c r="I18" s="32" t="s">
        <v>27</v>
      </c>
      <c r="J18" s="32" t="s">
        <v>27</v>
      </c>
      <c r="K18" s="4" t="s">
        <v>101</v>
      </c>
      <c r="L18" s="15" t="s">
        <v>102</v>
      </c>
      <c r="M18" s="4" t="s">
        <v>103</v>
      </c>
      <c r="N18" s="4" t="s">
        <v>104</v>
      </c>
      <c r="O18" s="4" t="s">
        <v>105</v>
      </c>
      <c r="P18" s="4" t="s">
        <v>106</v>
      </c>
      <c r="Q18" s="4" t="s">
        <v>107</v>
      </c>
      <c r="R18" s="4" t="s">
        <v>108</v>
      </c>
      <c r="S18" s="4" t="s">
        <v>109</v>
      </c>
      <c r="T18" s="4" t="s">
        <v>110</v>
      </c>
      <c r="V18" s="22">
        <f>(10-COUNTIF(K18:T18,"N")-COUNTIF(K18:T18,"N/A"))/(10-COUNTIF(K18:T18,"N/A"))</f>
        <v>1</v>
      </c>
    </row>
    <row r="19" spans="1:22" ht="45" customHeight="1" x14ac:dyDescent="0.2">
      <c r="A19" s="38" t="s">
        <v>111</v>
      </c>
      <c r="B19" s="102" t="s">
        <v>112</v>
      </c>
      <c r="C19" s="65" t="s">
        <v>23</v>
      </c>
      <c r="D19" s="67" t="s">
        <v>47</v>
      </c>
      <c r="E19" s="39" t="s">
        <v>31</v>
      </c>
      <c r="F19" s="102" t="s">
        <v>113</v>
      </c>
      <c r="G19" s="12"/>
      <c r="H19" s="32" t="s">
        <v>27</v>
      </c>
      <c r="I19" s="32" t="s">
        <v>27</v>
      </c>
      <c r="J19" s="32" t="s">
        <v>27</v>
      </c>
      <c r="K19" s="4" t="s">
        <v>114</v>
      </c>
      <c r="L19" s="4" t="s">
        <v>115</v>
      </c>
      <c r="M19" s="4" t="s">
        <v>116</v>
      </c>
      <c r="N19" s="4" t="s">
        <v>117</v>
      </c>
      <c r="O19" s="4" t="s">
        <v>118</v>
      </c>
      <c r="P19" s="4" t="s">
        <v>119</v>
      </c>
      <c r="Q19" s="4" t="s">
        <v>120</v>
      </c>
      <c r="R19" s="4" t="s">
        <v>121</v>
      </c>
      <c r="S19" s="4" t="s">
        <v>122</v>
      </c>
      <c r="T19" s="4" t="s">
        <v>123</v>
      </c>
      <c r="V19" s="22">
        <f>(10-COUNTIF(K19:T19,"N")-COUNTIF(K19:T19,"N/A"))/(10-COUNTIF(K19:T19,"N/A"))</f>
        <v>1</v>
      </c>
    </row>
    <row r="20" spans="1:22" ht="45" customHeight="1" x14ac:dyDescent="0.2">
      <c r="A20" s="38" t="s">
        <v>124</v>
      </c>
      <c r="B20" s="102" t="s">
        <v>125</v>
      </c>
      <c r="C20" s="66" t="s">
        <v>43</v>
      </c>
      <c r="D20" s="65" t="s">
        <v>23</v>
      </c>
      <c r="E20" s="119" t="s">
        <v>25</v>
      </c>
      <c r="F20" s="102" t="s">
        <v>126</v>
      </c>
      <c r="G20" s="12"/>
      <c r="H20" s="32" t="s">
        <v>27</v>
      </c>
      <c r="I20" s="32" t="s">
        <v>27</v>
      </c>
      <c r="J20" s="32" t="s">
        <v>27</v>
      </c>
      <c r="K20" s="4"/>
      <c r="L20" s="4"/>
      <c r="M20" s="4"/>
      <c r="N20" s="4"/>
      <c r="O20" s="4"/>
      <c r="P20" s="4"/>
      <c r="Q20" s="4"/>
      <c r="R20" s="4"/>
      <c r="S20" s="4"/>
      <c r="T20" s="4"/>
      <c r="V20" s="22"/>
    </row>
    <row r="21" spans="1:22" ht="45" customHeight="1" x14ac:dyDescent="0.2">
      <c r="A21" s="38" t="s">
        <v>127</v>
      </c>
      <c r="B21" s="102" t="s">
        <v>128</v>
      </c>
      <c r="C21" s="66" t="s">
        <v>43</v>
      </c>
      <c r="D21" s="68" t="s">
        <v>60</v>
      </c>
      <c r="E21" s="119" t="s">
        <v>129</v>
      </c>
      <c r="F21" s="102" t="s">
        <v>130</v>
      </c>
      <c r="G21" s="12"/>
      <c r="H21" s="32" t="s">
        <v>27</v>
      </c>
      <c r="I21" s="32" t="s">
        <v>27</v>
      </c>
      <c r="J21" s="32" t="s">
        <v>27</v>
      </c>
      <c r="K21" s="4"/>
      <c r="L21" s="4"/>
      <c r="M21" s="4"/>
      <c r="N21" s="4"/>
      <c r="O21" s="4"/>
      <c r="P21" s="4"/>
      <c r="Q21" s="4"/>
      <c r="R21" s="4"/>
      <c r="S21" s="4"/>
      <c r="T21" s="4"/>
      <c r="V21" s="22"/>
    </row>
    <row r="22" spans="1:22" ht="45" customHeight="1" x14ac:dyDescent="0.2">
      <c r="A22" s="40" t="s">
        <v>131</v>
      </c>
      <c r="B22" s="41" t="s">
        <v>132</v>
      </c>
      <c r="C22" s="68" t="s">
        <v>60</v>
      </c>
      <c r="D22" s="67" t="s">
        <v>47</v>
      </c>
      <c r="E22" s="41" t="s">
        <v>25</v>
      </c>
      <c r="F22" s="41" t="s">
        <v>133</v>
      </c>
      <c r="G22" s="12"/>
      <c r="H22" s="32" t="s">
        <v>27</v>
      </c>
      <c r="I22" s="32" t="s">
        <v>27</v>
      </c>
      <c r="J22" s="32" t="s">
        <v>27</v>
      </c>
      <c r="K22" s="5" t="s">
        <v>43</v>
      </c>
      <c r="L22" s="5" t="s">
        <v>43</v>
      </c>
      <c r="M22" s="5" t="s">
        <v>43</v>
      </c>
      <c r="N22" s="5" t="s">
        <v>43</v>
      </c>
      <c r="O22" s="5" t="s">
        <v>43</v>
      </c>
      <c r="P22" s="5" t="s">
        <v>43</v>
      </c>
      <c r="Q22" s="4" t="s">
        <v>134</v>
      </c>
      <c r="R22" s="5" t="s">
        <v>43</v>
      </c>
      <c r="S22" s="5" t="s">
        <v>43</v>
      </c>
      <c r="T22" s="5" t="s">
        <v>43</v>
      </c>
      <c r="V22" s="22">
        <f>(10-COUNTIF(K22:T22,"N")-COUNTIF(K22:T22,"N/A"))/(10-COUNTIF(K22:T22,"N/A"))</f>
        <v>1</v>
      </c>
    </row>
    <row r="23" spans="1:22" ht="45" customHeight="1" x14ac:dyDescent="0.2">
      <c r="A23" s="40" t="s">
        <v>135</v>
      </c>
      <c r="B23" s="41" t="s">
        <v>136</v>
      </c>
      <c r="C23" s="68" t="s">
        <v>60</v>
      </c>
      <c r="D23" s="67" t="s">
        <v>47</v>
      </c>
      <c r="E23" s="41" t="s">
        <v>25</v>
      </c>
      <c r="F23" s="41" t="s">
        <v>137</v>
      </c>
      <c r="G23" s="12"/>
      <c r="H23" s="32" t="s">
        <v>27</v>
      </c>
      <c r="I23" s="32" t="s">
        <v>27</v>
      </c>
      <c r="J23" s="32" t="s">
        <v>27</v>
      </c>
      <c r="K23" s="4" t="s">
        <v>138</v>
      </c>
      <c r="L23" s="4" t="s">
        <v>139</v>
      </c>
      <c r="M23" s="4" t="s">
        <v>140</v>
      </c>
      <c r="N23" s="4" t="s">
        <v>141</v>
      </c>
      <c r="O23" s="4" t="s">
        <v>142</v>
      </c>
      <c r="P23" s="4" t="s">
        <v>143</v>
      </c>
      <c r="Q23" s="4" t="s">
        <v>144</v>
      </c>
      <c r="R23" s="4" t="s">
        <v>145</v>
      </c>
      <c r="S23" s="4" t="s">
        <v>146</v>
      </c>
      <c r="T23" s="4" t="s">
        <v>147</v>
      </c>
      <c r="V23" s="22">
        <f>(10-COUNTIF(K23:T23,"N")-COUNTIF(K23:T23,"N/A"))/(10-COUNTIF(K23:T23,"N/A"))</f>
        <v>1</v>
      </c>
    </row>
    <row r="24" spans="1:22" ht="45" customHeight="1" x14ac:dyDescent="0.2">
      <c r="A24" s="40" t="s">
        <v>148</v>
      </c>
      <c r="B24" s="103" t="s">
        <v>149</v>
      </c>
      <c r="C24" s="68" t="s">
        <v>60</v>
      </c>
      <c r="D24" s="67" t="s">
        <v>47</v>
      </c>
      <c r="E24" s="41" t="s">
        <v>25</v>
      </c>
      <c r="F24" s="103" t="s">
        <v>150</v>
      </c>
      <c r="G24" s="12"/>
      <c r="H24" s="32" t="s">
        <v>27</v>
      </c>
      <c r="I24" s="32" t="s">
        <v>27</v>
      </c>
      <c r="J24" s="32" t="s">
        <v>27</v>
      </c>
      <c r="K24" s="3" t="s">
        <v>28</v>
      </c>
      <c r="L24" s="15" t="s">
        <v>151</v>
      </c>
      <c r="M24" s="3" t="s">
        <v>28</v>
      </c>
      <c r="N24" s="4" t="s">
        <v>152</v>
      </c>
      <c r="O24" s="3" t="s">
        <v>28</v>
      </c>
      <c r="P24" s="3" t="s">
        <v>28</v>
      </c>
      <c r="Q24" s="3" t="s">
        <v>28</v>
      </c>
      <c r="R24" s="3" t="s">
        <v>28</v>
      </c>
      <c r="S24" s="3" t="s">
        <v>28</v>
      </c>
      <c r="T24" s="3" t="s">
        <v>28</v>
      </c>
      <c r="V24" s="22">
        <f>(10-COUNTIF(K24:T24,"N")-COUNTIF(K24:T24,"N/A"))/(10-COUNTIF(K24:T24,"N/A"))</f>
        <v>0.2</v>
      </c>
    </row>
    <row r="25" spans="1:22" ht="12" customHeight="1" x14ac:dyDescent="0.2"/>
    <row r="26" spans="1:22" ht="45" customHeight="1" x14ac:dyDescent="0.15">
      <c r="A26" s="28" t="s">
        <v>153</v>
      </c>
      <c r="G26" s="9"/>
      <c r="H26" s="9"/>
      <c r="I26" s="9"/>
      <c r="J26" s="9"/>
      <c r="K26" s="10"/>
      <c r="L26" s="11"/>
      <c r="M26" s="11"/>
      <c r="N26" s="11"/>
      <c r="O26" s="11"/>
      <c r="V26" s="9"/>
    </row>
    <row r="27" spans="1:22" ht="45" customHeight="1" x14ac:dyDescent="0.2">
      <c r="A27" s="42" t="s">
        <v>154</v>
      </c>
      <c r="B27" s="43" t="s">
        <v>155</v>
      </c>
      <c r="C27" s="69" t="s">
        <v>23</v>
      </c>
      <c r="D27" s="70" t="s">
        <v>24</v>
      </c>
      <c r="E27" s="43" t="s">
        <v>25</v>
      </c>
      <c r="F27" s="104" t="s">
        <v>156</v>
      </c>
      <c r="G27" s="12"/>
      <c r="H27" s="32" t="s">
        <v>27</v>
      </c>
      <c r="I27" s="32" t="s">
        <v>27</v>
      </c>
      <c r="J27" s="32" t="s">
        <v>27</v>
      </c>
      <c r="K27" s="4" t="s">
        <v>157</v>
      </c>
      <c r="L27" s="4" t="s">
        <v>158</v>
      </c>
      <c r="M27" s="4" t="s">
        <v>159</v>
      </c>
      <c r="N27" s="4" t="s">
        <v>160</v>
      </c>
      <c r="O27" s="4" t="s">
        <v>161</v>
      </c>
      <c r="P27" s="4" t="s">
        <v>162</v>
      </c>
      <c r="Q27" s="4" t="s">
        <v>163</v>
      </c>
      <c r="R27" s="4" t="s">
        <v>164</v>
      </c>
      <c r="S27" s="4" t="s">
        <v>165</v>
      </c>
      <c r="T27" s="4" t="s">
        <v>166</v>
      </c>
      <c r="V27" s="22">
        <f t="shared" ref="V27:V37" si="0">(10-COUNTIF(K27:T27,"N")-COUNTIF(K27:T27,"N/A"))/(10-COUNTIF(K27:T27,"N/A"))</f>
        <v>1</v>
      </c>
    </row>
    <row r="28" spans="1:22" ht="45" customHeight="1" x14ac:dyDescent="0.2">
      <c r="A28" s="42" t="s">
        <v>167</v>
      </c>
      <c r="B28" s="43" t="s">
        <v>168</v>
      </c>
      <c r="C28" s="69" t="s">
        <v>23</v>
      </c>
      <c r="D28" s="70" t="s">
        <v>24</v>
      </c>
      <c r="E28" s="43" t="s">
        <v>25</v>
      </c>
      <c r="F28" s="104" t="s">
        <v>169</v>
      </c>
      <c r="G28" s="12"/>
      <c r="H28" s="32" t="s">
        <v>27</v>
      </c>
      <c r="I28" s="32" t="s">
        <v>27</v>
      </c>
      <c r="J28" s="32" t="s">
        <v>27</v>
      </c>
      <c r="K28" s="4" t="s">
        <v>170</v>
      </c>
      <c r="L28" s="4" t="s">
        <v>170</v>
      </c>
      <c r="M28" s="4" t="s">
        <v>171</v>
      </c>
      <c r="N28" s="4" t="s">
        <v>170</v>
      </c>
      <c r="O28" s="4" t="s">
        <v>172</v>
      </c>
      <c r="P28" s="4" t="s">
        <v>173</v>
      </c>
      <c r="Q28" s="4" t="s">
        <v>174</v>
      </c>
      <c r="R28" s="4" t="s">
        <v>175</v>
      </c>
      <c r="S28" s="4" t="s">
        <v>176</v>
      </c>
      <c r="T28" s="4" t="s">
        <v>177</v>
      </c>
      <c r="V28" s="22">
        <f t="shared" si="0"/>
        <v>1</v>
      </c>
    </row>
    <row r="29" spans="1:22" ht="45" customHeight="1" x14ac:dyDescent="0.2">
      <c r="A29" s="42" t="s">
        <v>178</v>
      </c>
      <c r="B29" s="43" t="s">
        <v>179</v>
      </c>
      <c r="C29" s="69" t="s">
        <v>23</v>
      </c>
      <c r="D29" s="70" t="s">
        <v>24</v>
      </c>
      <c r="E29" s="43" t="s">
        <v>31</v>
      </c>
      <c r="F29" s="104" t="s">
        <v>180</v>
      </c>
      <c r="G29" s="12"/>
      <c r="H29" s="32" t="s">
        <v>27</v>
      </c>
      <c r="I29" s="32" t="s">
        <v>27</v>
      </c>
      <c r="J29" s="32" t="s">
        <v>27</v>
      </c>
      <c r="K29" s="4" t="s">
        <v>181</v>
      </c>
      <c r="L29" s="4" t="s">
        <v>181</v>
      </c>
      <c r="M29" s="4" t="s">
        <v>182</v>
      </c>
      <c r="N29" s="4" t="s">
        <v>181</v>
      </c>
      <c r="O29" s="4" t="s">
        <v>183</v>
      </c>
      <c r="P29" s="4" t="s">
        <v>184</v>
      </c>
      <c r="Q29" s="4" t="s">
        <v>183</v>
      </c>
      <c r="R29" s="4" t="s">
        <v>183</v>
      </c>
      <c r="S29" s="4" t="s">
        <v>185</v>
      </c>
      <c r="T29" s="4" t="s">
        <v>186</v>
      </c>
      <c r="V29" s="22">
        <f t="shared" si="0"/>
        <v>1</v>
      </c>
    </row>
    <row r="30" spans="1:22" ht="45" customHeight="1" x14ac:dyDescent="0.2">
      <c r="A30" s="42" t="s">
        <v>187</v>
      </c>
      <c r="B30" s="43" t="s">
        <v>188</v>
      </c>
      <c r="C30" s="69" t="s">
        <v>23</v>
      </c>
      <c r="D30" s="70" t="s">
        <v>24</v>
      </c>
      <c r="E30" s="43" t="s">
        <v>25</v>
      </c>
      <c r="F30" s="104" t="s">
        <v>189</v>
      </c>
      <c r="G30" s="12"/>
      <c r="H30" s="32" t="s">
        <v>27</v>
      </c>
      <c r="I30" s="32" t="s">
        <v>27</v>
      </c>
      <c r="J30" s="32" t="s">
        <v>27</v>
      </c>
      <c r="K30" s="3" t="s">
        <v>28</v>
      </c>
      <c r="L30" s="15" t="s">
        <v>190</v>
      </c>
      <c r="M30" s="3" t="s">
        <v>28</v>
      </c>
      <c r="N30" s="3" t="s">
        <v>28</v>
      </c>
      <c r="O30" s="4" t="s">
        <v>191</v>
      </c>
      <c r="P30" s="3" t="s">
        <v>28</v>
      </c>
      <c r="Q30" s="3" t="s">
        <v>28</v>
      </c>
      <c r="R30" s="3" t="s">
        <v>28</v>
      </c>
      <c r="S30" s="4" t="s">
        <v>192</v>
      </c>
      <c r="T30" s="4" t="s">
        <v>193</v>
      </c>
      <c r="V30" s="22">
        <f t="shared" si="0"/>
        <v>0.4</v>
      </c>
    </row>
    <row r="31" spans="1:22" ht="45" customHeight="1" x14ac:dyDescent="0.2">
      <c r="A31" s="42" t="s">
        <v>194</v>
      </c>
      <c r="B31" s="43" t="s">
        <v>195</v>
      </c>
      <c r="C31" s="69" t="s">
        <v>23</v>
      </c>
      <c r="D31" s="70" t="s">
        <v>24</v>
      </c>
      <c r="E31" s="43" t="s">
        <v>31</v>
      </c>
      <c r="F31" s="43" t="s">
        <v>196</v>
      </c>
      <c r="G31" s="12"/>
      <c r="H31" s="32" t="s">
        <v>27</v>
      </c>
      <c r="I31" s="32" t="s">
        <v>27</v>
      </c>
      <c r="J31" s="32" t="s">
        <v>27</v>
      </c>
      <c r="K31" s="3" t="s">
        <v>28</v>
      </c>
      <c r="L31" s="3" t="s">
        <v>28</v>
      </c>
      <c r="M31" s="3" t="s">
        <v>28</v>
      </c>
      <c r="N31" s="3" t="s">
        <v>28</v>
      </c>
      <c r="O31" s="3" t="s">
        <v>28</v>
      </c>
      <c r="P31" s="3" t="s">
        <v>28</v>
      </c>
      <c r="Q31" s="3" t="s">
        <v>28</v>
      </c>
      <c r="R31" s="3" t="s">
        <v>28</v>
      </c>
      <c r="S31" s="4" t="s">
        <v>197</v>
      </c>
      <c r="T31" s="3" t="s">
        <v>28</v>
      </c>
      <c r="V31" s="22">
        <f t="shared" si="0"/>
        <v>0.1</v>
      </c>
    </row>
    <row r="32" spans="1:22" ht="45" customHeight="1" x14ac:dyDescent="0.2">
      <c r="A32" s="42" t="s">
        <v>198</v>
      </c>
      <c r="B32" s="43" t="s">
        <v>199</v>
      </c>
      <c r="C32" s="69" t="s">
        <v>23</v>
      </c>
      <c r="D32" s="71" t="s">
        <v>47</v>
      </c>
      <c r="E32" s="43" t="s">
        <v>25</v>
      </c>
      <c r="F32" s="43" t="s">
        <v>200</v>
      </c>
      <c r="G32" s="12"/>
      <c r="H32" s="32" t="s">
        <v>27</v>
      </c>
      <c r="I32" s="32" t="s">
        <v>27</v>
      </c>
      <c r="J32" s="32" t="s">
        <v>27</v>
      </c>
      <c r="K32" s="4" t="s">
        <v>201</v>
      </c>
      <c r="L32" s="4" t="s">
        <v>202</v>
      </c>
      <c r="M32" s="3" t="s">
        <v>28</v>
      </c>
      <c r="N32" s="4" t="s">
        <v>203</v>
      </c>
      <c r="O32" s="3" t="s">
        <v>28</v>
      </c>
      <c r="P32" s="4" t="s">
        <v>204</v>
      </c>
      <c r="Q32" s="3" t="s">
        <v>28</v>
      </c>
      <c r="R32" s="3" t="s">
        <v>28</v>
      </c>
      <c r="S32" s="4" t="s">
        <v>205</v>
      </c>
      <c r="T32" s="4" t="s">
        <v>206</v>
      </c>
      <c r="V32" s="22">
        <f t="shared" si="0"/>
        <v>0.6</v>
      </c>
    </row>
    <row r="33" spans="1:22" ht="45" customHeight="1" x14ac:dyDescent="0.2">
      <c r="A33" s="42" t="s">
        <v>207</v>
      </c>
      <c r="B33" s="43" t="s">
        <v>208</v>
      </c>
      <c r="C33" s="69" t="s">
        <v>23</v>
      </c>
      <c r="D33" s="70" t="s">
        <v>24</v>
      </c>
      <c r="E33" s="43" t="s">
        <v>25</v>
      </c>
      <c r="F33" s="43" t="s">
        <v>209</v>
      </c>
      <c r="G33" s="12"/>
      <c r="H33" s="32" t="s">
        <v>27</v>
      </c>
      <c r="I33" s="32" t="s">
        <v>27</v>
      </c>
      <c r="J33" s="32" t="s">
        <v>27</v>
      </c>
      <c r="K33" s="4" t="s">
        <v>210</v>
      </c>
      <c r="L33" s="4" t="s">
        <v>210</v>
      </c>
      <c r="M33" s="4" t="s">
        <v>211</v>
      </c>
      <c r="N33" s="3" t="s">
        <v>28</v>
      </c>
      <c r="O33" s="3" t="s">
        <v>28</v>
      </c>
      <c r="P33" s="4" t="s">
        <v>212</v>
      </c>
      <c r="Q33" s="4" t="s">
        <v>213</v>
      </c>
      <c r="R33" s="3" t="s">
        <v>28</v>
      </c>
      <c r="S33" s="4" t="s">
        <v>214</v>
      </c>
      <c r="T33" s="4" t="s">
        <v>215</v>
      </c>
      <c r="V33" s="22">
        <f t="shared" si="0"/>
        <v>0.7</v>
      </c>
    </row>
    <row r="34" spans="1:22" ht="45" customHeight="1" x14ac:dyDescent="0.2">
      <c r="A34" s="42" t="s">
        <v>216</v>
      </c>
      <c r="B34" s="43" t="s">
        <v>217</v>
      </c>
      <c r="C34" s="69" t="s">
        <v>23</v>
      </c>
      <c r="D34" s="70" t="s">
        <v>24</v>
      </c>
      <c r="E34" s="43" t="s">
        <v>25</v>
      </c>
      <c r="F34" s="104" t="s">
        <v>218</v>
      </c>
      <c r="G34" s="12"/>
      <c r="H34" s="32" t="s">
        <v>27</v>
      </c>
      <c r="I34" s="32" t="s">
        <v>27</v>
      </c>
      <c r="J34" s="32" t="s">
        <v>27</v>
      </c>
      <c r="K34" s="4" t="s">
        <v>219</v>
      </c>
      <c r="L34" s="4" t="s">
        <v>219</v>
      </c>
      <c r="M34" s="4" t="s">
        <v>220</v>
      </c>
      <c r="N34" s="4" t="s">
        <v>219</v>
      </c>
      <c r="O34" s="4" t="s">
        <v>220</v>
      </c>
      <c r="P34" s="4" t="s">
        <v>219</v>
      </c>
      <c r="Q34" s="4" t="s">
        <v>221</v>
      </c>
      <c r="R34" s="4" t="s">
        <v>222</v>
      </c>
      <c r="S34" s="4" t="s">
        <v>219</v>
      </c>
      <c r="T34" s="4" t="s">
        <v>223</v>
      </c>
      <c r="V34" s="22">
        <f t="shared" si="0"/>
        <v>1</v>
      </c>
    </row>
    <row r="35" spans="1:22" ht="45" customHeight="1" x14ac:dyDescent="0.2">
      <c r="A35" s="42" t="s">
        <v>224</v>
      </c>
      <c r="B35" s="43" t="s">
        <v>225</v>
      </c>
      <c r="C35" s="69" t="s">
        <v>23</v>
      </c>
      <c r="D35" s="71" t="s">
        <v>47</v>
      </c>
      <c r="E35" s="43" t="s">
        <v>25</v>
      </c>
      <c r="F35" s="104" t="s">
        <v>226</v>
      </c>
      <c r="G35" s="12"/>
      <c r="H35" s="32" t="s">
        <v>27</v>
      </c>
      <c r="I35" s="32" t="s">
        <v>27</v>
      </c>
      <c r="J35" s="32" t="s">
        <v>27</v>
      </c>
      <c r="K35" s="3" t="s">
        <v>28</v>
      </c>
      <c r="L35" s="3" t="s">
        <v>28</v>
      </c>
      <c r="M35" s="3" t="s">
        <v>28</v>
      </c>
      <c r="N35" s="3" t="s">
        <v>28</v>
      </c>
      <c r="O35" s="3" t="s">
        <v>28</v>
      </c>
      <c r="P35" s="4" t="s">
        <v>227</v>
      </c>
      <c r="Q35" s="3" t="s">
        <v>28</v>
      </c>
      <c r="R35" s="3" t="s">
        <v>28</v>
      </c>
      <c r="S35" s="3" t="s">
        <v>28</v>
      </c>
      <c r="T35" s="3" t="s">
        <v>28</v>
      </c>
      <c r="V35" s="22">
        <f t="shared" si="0"/>
        <v>0.1</v>
      </c>
    </row>
    <row r="36" spans="1:22" ht="45" customHeight="1" x14ac:dyDescent="0.2">
      <c r="A36" s="42" t="s">
        <v>228</v>
      </c>
      <c r="B36" s="43" t="s">
        <v>229</v>
      </c>
      <c r="C36" s="69" t="s">
        <v>23</v>
      </c>
      <c r="D36" s="71" t="s">
        <v>47</v>
      </c>
      <c r="E36" s="43" t="s">
        <v>25</v>
      </c>
      <c r="F36" s="104" t="s">
        <v>230</v>
      </c>
      <c r="G36" s="12"/>
      <c r="H36" s="32" t="s">
        <v>27</v>
      </c>
      <c r="I36" s="32" t="s">
        <v>27</v>
      </c>
      <c r="J36" s="32" t="s">
        <v>27</v>
      </c>
      <c r="K36" s="3" t="s">
        <v>28</v>
      </c>
      <c r="L36" s="4" t="s">
        <v>231</v>
      </c>
      <c r="M36" s="4" t="s">
        <v>232</v>
      </c>
      <c r="N36" s="4" t="s">
        <v>233</v>
      </c>
      <c r="O36" s="3" t="s">
        <v>28</v>
      </c>
      <c r="P36" s="4" t="s">
        <v>234</v>
      </c>
      <c r="Q36" s="4" t="s">
        <v>235</v>
      </c>
      <c r="R36" s="3" t="s">
        <v>28</v>
      </c>
      <c r="S36" s="4" t="s">
        <v>236</v>
      </c>
      <c r="T36" s="4" t="s">
        <v>237</v>
      </c>
      <c r="V36" s="22">
        <f t="shared" si="0"/>
        <v>0.7</v>
      </c>
    </row>
    <row r="37" spans="1:22" ht="45" customHeight="1" x14ac:dyDescent="0.2">
      <c r="A37" s="44" t="s">
        <v>238</v>
      </c>
      <c r="B37" s="45" t="s">
        <v>239</v>
      </c>
      <c r="C37" s="72" t="s">
        <v>60</v>
      </c>
      <c r="D37" s="70" t="s">
        <v>24</v>
      </c>
      <c r="E37" s="45" t="s">
        <v>25</v>
      </c>
      <c r="F37" s="105" t="s">
        <v>240</v>
      </c>
      <c r="G37" s="12"/>
      <c r="H37" s="32" t="s">
        <v>27</v>
      </c>
      <c r="I37" s="32" t="s">
        <v>27</v>
      </c>
      <c r="J37" s="32" t="s">
        <v>27</v>
      </c>
      <c r="K37" s="3" t="s">
        <v>28</v>
      </c>
      <c r="L37" s="4" t="s">
        <v>241</v>
      </c>
      <c r="M37" s="3" t="s">
        <v>28</v>
      </c>
      <c r="N37" s="3" t="s">
        <v>28</v>
      </c>
      <c r="O37" s="3" t="s">
        <v>28</v>
      </c>
      <c r="P37" s="4" t="s">
        <v>242</v>
      </c>
      <c r="Q37" s="3" t="s">
        <v>28</v>
      </c>
      <c r="R37" s="3" t="s">
        <v>28</v>
      </c>
      <c r="S37" s="4" t="s">
        <v>243</v>
      </c>
      <c r="T37" s="4" t="s">
        <v>244</v>
      </c>
      <c r="V37" s="22">
        <f t="shared" si="0"/>
        <v>0.4</v>
      </c>
    </row>
    <row r="38" spans="1:22" ht="12" customHeight="1" x14ac:dyDescent="0.2"/>
    <row r="39" spans="1:22" ht="45" customHeight="1" x14ac:dyDescent="0.15">
      <c r="A39" s="29" t="s">
        <v>245</v>
      </c>
      <c r="G39" s="9"/>
      <c r="H39" s="9"/>
      <c r="I39" s="9"/>
      <c r="J39" s="9"/>
      <c r="K39" s="10"/>
      <c r="L39" s="11"/>
      <c r="M39" s="11"/>
      <c r="N39" s="11"/>
      <c r="O39" s="11"/>
      <c r="V39" s="9"/>
    </row>
    <row r="40" spans="1:22" ht="45" customHeight="1" x14ac:dyDescent="0.2">
      <c r="A40" s="46" t="s">
        <v>246</v>
      </c>
      <c r="B40" s="106" t="s">
        <v>247</v>
      </c>
      <c r="C40" s="73" t="s">
        <v>23</v>
      </c>
      <c r="D40" s="74" t="s">
        <v>47</v>
      </c>
      <c r="E40" s="106" t="s">
        <v>25</v>
      </c>
      <c r="F40" s="106" t="s">
        <v>248</v>
      </c>
      <c r="G40" s="12"/>
      <c r="H40" s="32" t="s">
        <v>27</v>
      </c>
      <c r="I40" s="32" t="s">
        <v>27</v>
      </c>
      <c r="J40" s="32" t="s">
        <v>27</v>
      </c>
      <c r="K40" s="4" t="s">
        <v>249</v>
      </c>
      <c r="L40" s="4" t="s">
        <v>250</v>
      </c>
      <c r="M40" s="4" t="s">
        <v>251</v>
      </c>
      <c r="N40" s="4" t="s">
        <v>252</v>
      </c>
      <c r="O40" s="4" t="s">
        <v>253</v>
      </c>
      <c r="P40" s="4" t="s">
        <v>254</v>
      </c>
      <c r="Q40" s="4" t="s">
        <v>255</v>
      </c>
      <c r="R40" s="4" t="s">
        <v>256</v>
      </c>
      <c r="S40" s="4" t="s">
        <v>257</v>
      </c>
      <c r="T40" s="4" t="s">
        <v>258</v>
      </c>
      <c r="V40" s="22">
        <f t="shared" ref="V40:V57" si="1">(10-COUNTIF(K40:T40,"N")-COUNTIF(K40:T40,"N/A"))/(10-COUNTIF(K40:T40,"N/A"))</f>
        <v>1</v>
      </c>
    </row>
    <row r="41" spans="1:22" ht="45" customHeight="1" x14ac:dyDescent="0.2">
      <c r="A41" s="46" t="s">
        <v>259</v>
      </c>
      <c r="B41" s="47" t="s">
        <v>260</v>
      </c>
      <c r="C41" s="73" t="s">
        <v>23</v>
      </c>
      <c r="D41" s="75" t="s">
        <v>24</v>
      </c>
      <c r="E41" s="47" t="s">
        <v>31</v>
      </c>
      <c r="F41" s="106" t="s">
        <v>261</v>
      </c>
      <c r="G41" s="12"/>
      <c r="H41" s="32" t="s">
        <v>27</v>
      </c>
      <c r="I41" s="32" t="s">
        <v>27</v>
      </c>
      <c r="J41" s="32" t="s">
        <v>27</v>
      </c>
      <c r="K41" s="4" t="s">
        <v>262</v>
      </c>
      <c r="L41" s="4" t="s">
        <v>263</v>
      </c>
      <c r="M41" s="4" t="s">
        <v>264</v>
      </c>
      <c r="N41" s="4" t="s">
        <v>265</v>
      </c>
      <c r="O41" s="4" t="s">
        <v>265</v>
      </c>
      <c r="P41" s="4" t="s">
        <v>266</v>
      </c>
      <c r="Q41" s="4" t="s">
        <v>267</v>
      </c>
      <c r="R41" s="4" t="s">
        <v>268</v>
      </c>
      <c r="S41" s="4" t="s">
        <v>269</v>
      </c>
      <c r="T41" s="4" t="s">
        <v>270</v>
      </c>
      <c r="V41" s="22">
        <f t="shared" si="1"/>
        <v>1</v>
      </c>
    </row>
    <row r="42" spans="1:22" ht="45" customHeight="1" x14ac:dyDescent="0.2">
      <c r="A42" s="46" t="s">
        <v>271</v>
      </c>
      <c r="B42" s="106" t="s">
        <v>272</v>
      </c>
      <c r="C42" s="84" t="s">
        <v>60</v>
      </c>
      <c r="D42" s="74" t="s">
        <v>47</v>
      </c>
      <c r="E42" s="47" t="s">
        <v>273</v>
      </c>
      <c r="F42" s="47" t="s">
        <v>274</v>
      </c>
      <c r="G42" s="12"/>
      <c r="H42" s="32" t="s">
        <v>27</v>
      </c>
      <c r="I42" s="32" t="s">
        <v>27</v>
      </c>
      <c r="J42" s="32" t="s">
        <v>27</v>
      </c>
      <c r="K42" s="3" t="s">
        <v>28</v>
      </c>
      <c r="L42" s="3" t="s">
        <v>28</v>
      </c>
      <c r="M42" s="3" t="s">
        <v>28</v>
      </c>
      <c r="N42" s="3" t="s">
        <v>28</v>
      </c>
      <c r="O42" s="3" t="s">
        <v>28</v>
      </c>
      <c r="P42" s="3" t="s">
        <v>28</v>
      </c>
      <c r="Q42" s="3" t="s">
        <v>28</v>
      </c>
      <c r="R42" s="3" t="s">
        <v>28</v>
      </c>
      <c r="S42" s="3" t="s">
        <v>28</v>
      </c>
      <c r="T42" s="3" t="s">
        <v>28</v>
      </c>
      <c r="V42" s="22">
        <f t="shared" si="1"/>
        <v>0</v>
      </c>
    </row>
    <row r="43" spans="1:22" ht="45" customHeight="1" x14ac:dyDescent="0.2">
      <c r="A43" s="46" t="s">
        <v>275</v>
      </c>
      <c r="B43" s="106" t="s">
        <v>276</v>
      </c>
      <c r="C43" s="73" t="s">
        <v>23</v>
      </c>
      <c r="D43" s="74" t="s">
        <v>47</v>
      </c>
      <c r="E43" s="47" t="s">
        <v>277</v>
      </c>
      <c r="F43" s="106" t="s">
        <v>278</v>
      </c>
      <c r="G43" s="12"/>
      <c r="H43" s="32" t="s">
        <v>27</v>
      </c>
      <c r="I43" s="32" t="s">
        <v>27</v>
      </c>
      <c r="J43" s="32" t="s">
        <v>27</v>
      </c>
      <c r="K43" s="3" t="s">
        <v>28</v>
      </c>
      <c r="L43" s="4" t="s">
        <v>279</v>
      </c>
      <c r="M43" s="4" t="s">
        <v>280</v>
      </c>
      <c r="N43" s="3" t="s">
        <v>28</v>
      </c>
      <c r="O43" s="4" t="s">
        <v>281</v>
      </c>
      <c r="P43" s="4" t="s">
        <v>282</v>
      </c>
      <c r="Q43" s="4" t="s">
        <v>283</v>
      </c>
      <c r="R43" s="4" t="s">
        <v>284</v>
      </c>
      <c r="S43" s="4" t="s">
        <v>285</v>
      </c>
      <c r="T43" s="4" t="s">
        <v>286</v>
      </c>
      <c r="V43" s="22">
        <f t="shared" si="1"/>
        <v>0.8</v>
      </c>
    </row>
    <row r="44" spans="1:22" ht="45" customHeight="1" x14ac:dyDescent="0.2">
      <c r="A44" s="48" t="s">
        <v>287</v>
      </c>
      <c r="B44" s="49" t="s">
        <v>288</v>
      </c>
      <c r="C44" s="84" t="s">
        <v>60</v>
      </c>
      <c r="D44" s="74" t="s">
        <v>47</v>
      </c>
      <c r="E44" s="88" t="s">
        <v>99</v>
      </c>
      <c r="F44" s="49" t="s">
        <v>289</v>
      </c>
      <c r="H44" s="32" t="s">
        <v>27</v>
      </c>
      <c r="I44" s="32" t="s">
        <v>27</v>
      </c>
      <c r="J44" s="32" t="s">
        <v>27</v>
      </c>
      <c r="K44" s="16" t="s">
        <v>28</v>
      </c>
      <c r="L44" s="17" t="s">
        <v>290</v>
      </c>
      <c r="M44" s="16" t="s">
        <v>28</v>
      </c>
      <c r="N44" s="16" t="s">
        <v>28</v>
      </c>
      <c r="O44" s="16" t="s">
        <v>28</v>
      </c>
      <c r="P44" s="16" t="s">
        <v>28</v>
      </c>
      <c r="Q44" s="16" t="s">
        <v>28</v>
      </c>
      <c r="R44" s="16" t="s">
        <v>28</v>
      </c>
      <c r="S44" s="16" t="s">
        <v>28</v>
      </c>
      <c r="T44" s="16" t="s">
        <v>28</v>
      </c>
      <c r="V44" s="22">
        <f t="shared" si="1"/>
        <v>0.1</v>
      </c>
    </row>
    <row r="45" spans="1:22" ht="45" customHeight="1" x14ac:dyDescent="0.2">
      <c r="A45" s="46" t="s">
        <v>291</v>
      </c>
      <c r="B45" s="106" t="s">
        <v>292</v>
      </c>
      <c r="C45" s="73" t="s">
        <v>23</v>
      </c>
      <c r="D45" s="74" t="s">
        <v>47</v>
      </c>
      <c r="E45" s="47" t="s">
        <v>293</v>
      </c>
      <c r="F45" s="106" t="s">
        <v>294</v>
      </c>
      <c r="G45" s="12"/>
      <c r="H45" s="32" t="s">
        <v>27</v>
      </c>
      <c r="I45" s="32" t="s">
        <v>27</v>
      </c>
      <c r="J45" s="32" t="s">
        <v>27</v>
      </c>
      <c r="K45" s="4" t="s">
        <v>295</v>
      </c>
      <c r="L45" s="15" t="s">
        <v>296</v>
      </c>
      <c r="M45" s="4" t="s">
        <v>297</v>
      </c>
      <c r="N45" s="3" t="s">
        <v>28</v>
      </c>
      <c r="O45" s="4" t="s">
        <v>298</v>
      </c>
      <c r="P45" s="4" t="s">
        <v>299</v>
      </c>
      <c r="Q45" s="4" t="s">
        <v>300</v>
      </c>
      <c r="R45" s="4" t="s">
        <v>301</v>
      </c>
      <c r="S45" s="4" t="s">
        <v>297</v>
      </c>
      <c r="T45" s="4" t="s">
        <v>302</v>
      </c>
      <c r="V45" s="22">
        <f t="shared" si="1"/>
        <v>0.9</v>
      </c>
    </row>
    <row r="46" spans="1:22" ht="45" customHeight="1" x14ac:dyDescent="0.2">
      <c r="A46" s="50" t="s">
        <v>303</v>
      </c>
      <c r="B46" s="107" t="s">
        <v>304</v>
      </c>
      <c r="C46" s="76" t="s">
        <v>60</v>
      </c>
      <c r="D46" s="74" t="s">
        <v>47</v>
      </c>
      <c r="E46" s="51" t="s">
        <v>25</v>
      </c>
      <c r="F46" s="107" t="s">
        <v>305</v>
      </c>
      <c r="G46" s="12"/>
      <c r="H46" s="32" t="s">
        <v>27</v>
      </c>
      <c r="I46" s="32" t="s">
        <v>27</v>
      </c>
      <c r="J46" s="32" t="s">
        <v>27</v>
      </c>
      <c r="K46" s="3" t="s">
        <v>28</v>
      </c>
      <c r="L46" s="4" t="s">
        <v>306</v>
      </c>
      <c r="M46" s="4" t="s">
        <v>307</v>
      </c>
      <c r="N46" s="3" t="s">
        <v>28</v>
      </c>
      <c r="O46" s="4" t="s">
        <v>308</v>
      </c>
      <c r="P46" s="4" t="s">
        <v>309</v>
      </c>
      <c r="Q46" s="4" t="s">
        <v>310</v>
      </c>
      <c r="R46" s="3" t="s">
        <v>28</v>
      </c>
      <c r="S46" s="4" t="s">
        <v>311</v>
      </c>
      <c r="T46" s="4" t="s">
        <v>312</v>
      </c>
      <c r="V46" s="22">
        <f t="shared" si="1"/>
        <v>0.7</v>
      </c>
    </row>
    <row r="47" spans="1:22" ht="45" customHeight="1" x14ac:dyDescent="0.2">
      <c r="A47" s="46" t="s">
        <v>313</v>
      </c>
      <c r="B47" s="106" t="s">
        <v>314</v>
      </c>
      <c r="C47" s="73" t="s">
        <v>23</v>
      </c>
      <c r="D47" s="74" t="s">
        <v>47</v>
      </c>
      <c r="E47" s="47" t="s">
        <v>315</v>
      </c>
      <c r="F47" s="47" t="s">
        <v>316</v>
      </c>
      <c r="G47" s="12"/>
      <c r="H47" s="32" t="s">
        <v>27</v>
      </c>
      <c r="I47" s="33" t="s">
        <v>28</v>
      </c>
      <c r="J47" s="33" t="s">
        <v>28</v>
      </c>
      <c r="K47" s="23" t="s">
        <v>317</v>
      </c>
      <c r="L47" s="15" t="s">
        <v>318</v>
      </c>
      <c r="M47" s="4" t="s">
        <v>319</v>
      </c>
      <c r="N47" s="3" t="s">
        <v>28</v>
      </c>
      <c r="O47" s="3" t="s">
        <v>28</v>
      </c>
      <c r="P47" s="4" t="s">
        <v>320</v>
      </c>
      <c r="Q47" s="4" t="s">
        <v>321</v>
      </c>
      <c r="R47" s="4" t="s">
        <v>322</v>
      </c>
      <c r="S47" s="4" t="s">
        <v>323</v>
      </c>
      <c r="T47" s="4" t="s">
        <v>324</v>
      </c>
      <c r="V47" s="22">
        <f t="shared" si="1"/>
        <v>0.8</v>
      </c>
    </row>
    <row r="48" spans="1:22" ht="45" customHeight="1" x14ac:dyDescent="0.2">
      <c r="A48" s="50" t="s">
        <v>325</v>
      </c>
      <c r="B48" s="107" t="s">
        <v>326</v>
      </c>
      <c r="C48" s="76" t="s">
        <v>60</v>
      </c>
      <c r="D48" s="74" t="s">
        <v>47</v>
      </c>
      <c r="E48" s="51" t="s">
        <v>25</v>
      </c>
      <c r="F48" s="107" t="s">
        <v>327</v>
      </c>
      <c r="G48" s="12"/>
      <c r="H48" s="33" t="s">
        <v>28</v>
      </c>
      <c r="I48" s="32" t="s">
        <v>27</v>
      </c>
      <c r="J48" s="32" t="s">
        <v>27</v>
      </c>
      <c r="K48" s="4" t="s">
        <v>328</v>
      </c>
      <c r="L48" s="15" t="s">
        <v>329</v>
      </c>
      <c r="M48" s="4" t="s">
        <v>330</v>
      </c>
      <c r="N48" s="4" t="s">
        <v>331</v>
      </c>
      <c r="O48" s="4" t="s">
        <v>331</v>
      </c>
      <c r="P48" s="4" t="s">
        <v>332</v>
      </c>
      <c r="Q48" s="4" t="s">
        <v>333</v>
      </c>
      <c r="R48" s="4" t="s">
        <v>333</v>
      </c>
      <c r="S48" s="4" t="s">
        <v>334</v>
      </c>
      <c r="T48" s="4" t="s">
        <v>335</v>
      </c>
      <c r="V48" s="22">
        <f t="shared" si="1"/>
        <v>1</v>
      </c>
    </row>
    <row r="49" spans="1:22" ht="45" customHeight="1" x14ac:dyDescent="0.2">
      <c r="A49" s="48" t="s">
        <v>336</v>
      </c>
      <c r="B49" s="49" t="s">
        <v>337</v>
      </c>
      <c r="C49" s="85" t="s">
        <v>23</v>
      </c>
      <c r="D49" s="74" t="s">
        <v>47</v>
      </c>
      <c r="E49" s="51" t="s">
        <v>25</v>
      </c>
      <c r="F49" s="49" t="s">
        <v>338</v>
      </c>
      <c r="H49" s="33" t="s">
        <v>28</v>
      </c>
      <c r="I49" s="33" t="s">
        <v>28</v>
      </c>
      <c r="J49" s="32" t="s">
        <v>27</v>
      </c>
      <c r="K49" s="16" t="s">
        <v>28</v>
      </c>
      <c r="L49" s="17" t="s">
        <v>339</v>
      </c>
      <c r="M49" s="17" t="s">
        <v>340</v>
      </c>
      <c r="N49" s="18" t="s">
        <v>43</v>
      </c>
      <c r="O49" s="18" t="s">
        <v>43</v>
      </c>
      <c r="P49" s="16" t="s">
        <v>28</v>
      </c>
      <c r="Q49" s="18" t="s">
        <v>43</v>
      </c>
      <c r="R49" s="18" t="s">
        <v>43</v>
      </c>
      <c r="S49" s="16" t="s">
        <v>28</v>
      </c>
      <c r="T49" s="18" t="s">
        <v>43</v>
      </c>
      <c r="V49" s="22">
        <f t="shared" si="1"/>
        <v>0.4</v>
      </c>
    </row>
    <row r="50" spans="1:22" ht="45" customHeight="1" x14ac:dyDescent="0.2">
      <c r="A50" s="46" t="s">
        <v>341</v>
      </c>
      <c r="B50" s="106" t="s">
        <v>342</v>
      </c>
      <c r="C50" s="73" t="s">
        <v>23</v>
      </c>
      <c r="D50" s="74" t="s">
        <v>47</v>
      </c>
      <c r="E50" s="47" t="s">
        <v>25</v>
      </c>
      <c r="F50" s="106" t="s">
        <v>343</v>
      </c>
      <c r="G50" s="12"/>
      <c r="H50" s="32" t="s">
        <v>27</v>
      </c>
      <c r="I50" s="32" t="s">
        <v>27</v>
      </c>
      <c r="J50" s="32" t="s">
        <v>27</v>
      </c>
      <c r="K50" s="23" t="s">
        <v>344</v>
      </c>
      <c r="L50" s="15" t="s">
        <v>345</v>
      </c>
      <c r="M50" s="4" t="s">
        <v>346</v>
      </c>
      <c r="N50" s="3" t="s">
        <v>28</v>
      </c>
      <c r="O50" s="4" t="s">
        <v>347</v>
      </c>
      <c r="P50" s="4" t="s">
        <v>348</v>
      </c>
      <c r="Q50" s="4" t="s">
        <v>349</v>
      </c>
      <c r="R50" s="4" t="s">
        <v>350</v>
      </c>
      <c r="S50" s="4" t="s">
        <v>351</v>
      </c>
      <c r="T50" s="4" t="s">
        <v>352</v>
      </c>
      <c r="V50" s="22">
        <f t="shared" si="1"/>
        <v>0.9</v>
      </c>
    </row>
    <row r="51" spans="1:22" ht="45" customHeight="1" x14ac:dyDescent="0.2">
      <c r="A51" s="50" t="s">
        <v>353</v>
      </c>
      <c r="B51" s="107" t="s">
        <v>354</v>
      </c>
      <c r="C51" s="76" t="s">
        <v>60</v>
      </c>
      <c r="D51" s="74" t="s">
        <v>47</v>
      </c>
      <c r="E51" s="51" t="s">
        <v>25</v>
      </c>
      <c r="F51" s="107" t="s">
        <v>355</v>
      </c>
      <c r="G51" s="12"/>
      <c r="H51" s="32" t="s">
        <v>27</v>
      </c>
      <c r="I51" s="32" t="s">
        <v>27</v>
      </c>
      <c r="J51" s="32" t="s">
        <v>27</v>
      </c>
      <c r="K51" s="3" t="s">
        <v>28</v>
      </c>
      <c r="L51" s="15" t="s">
        <v>356</v>
      </c>
      <c r="M51" s="4" t="s">
        <v>357</v>
      </c>
      <c r="N51" s="4" t="s">
        <v>358</v>
      </c>
      <c r="O51" s="4" t="s">
        <v>359</v>
      </c>
      <c r="P51" s="3" t="s">
        <v>28</v>
      </c>
      <c r="Q51" s="3" t="s">
        <v>28</v>
      </c>
      <c r="R51" s="4" t="s">
        <v>360</v>
      </c>
      <c r="S51" s="4" t="s">
        <v>361</v>
      </c>
      <c r="T51" s="4" t="s">
        <v>362</v>
      </c>
      <c r="V51" s="22">
        <f t="shared" si="1"/>
        <v>0.7</v>
      </c>
    </row>
    <row r="52" spans="1:22" ht="45" customHeight="1" x14ac:dyDescent="0.2">
      <c r="A52" s="50" t="s">
        <v>363</v>
      </c>
      <c r="B52" s="107" t="s">
        <v>364</v>
      </c>
      <c r="C52" s="76" t="s">
        <v>60</v>
      </c>
      <c r="D52" s="74" t="s">
        <v>47</v>
      </c>
      <c r="E52" s="51" t="s">
        <v>25</v>
      </c>
      <c r="F52" s="51" t="s">
        <v>365</v>
      </c>
      <c r="G52" s="12"/>
      <c r="H52" s="32" t="s">
        <v>27</v>
      </c>
      <c r="I52" s="32" t="s">
        <v>27</v>
      </c>
      <c r="J52" s="32" t="s">
        <v>27</v>
      </c>
      <c r="K52" s="3" t="s">
        <v>28</v>
      </c>
      <c r="L52" s="15" t="s">
        <v>366</v>
      </c>
      <c r="M52" s="3" t="s">
        <v>28</v>
      </c>
      <c r="N52" s="4" t="s">
        <v>367</v>
      </c>
      <c r="O52" s="4" t="s">
        <v>368</v>
      </c>
      <c r="P52" s="3" t="s">
        <v>28</v>
      </c>
      <c r="Q52" s="3" t="s">
        <v>28</v>
      </c>
      <c r="R52" s="3" t="s">
        <v>28</v>
      </c>
      <c r="S52" s="4" t="s">
        <v>369</v>
      </c>
      <c r="T52" s="4" t="s">
        <v>370</v>
      </c>
      <c r="V52" s="22">
        <f t="shared" si="1"/>
        <v>0.5</v>
      </c>
    </row>
    <row r="53" spans="1:22" ht="45" customHeight="1" x14ac:dyDescent="0.2">
      <c r="A53" s="46" t="s">
        <v>371</v>
      </c>
      <c r="B53" s="106" t="s">
        <v>372</v>
      </c>
      <c r="C53" s="73" t="s">
        <v>23</v>
      </c>
      <c r="D53" s="75" t="s">
        <v>24</v>
      </c>
      <c r="E53" s="47" t="s">
        <v>373</v>
      </c>
      <c r="F53" s="106" t="s">
        <v>705</v>
      </c>
      <c r="G53" s="12"/>
      <c r="H53" s="32" t="s">
        <v>27</v>
      </c>
      <c r="I53" s="32" t="s">
        <v>27</v>
      </c>
      <c r="J53" s="32" t="s">
        <v>27</v>
      </c>
      <c r="K53" s="3" t="s">
        <v>28</v>
      </c>
      <c r="L53" s="15" t="s">
        <v>374</v>
      </c>
      <c r="M53" s="4" t="s">
        <v>375</v>
      </c>
      <c r="N53" s="3" t="s">
        <v>28</v>
      </c>
      <c r="O53" s="4" t="s">
        <v>376</v>
      </c>
      <c r="P53" s="3" t="s">
        <v>28</v>
      </c>
      <c r="Q53" s="4" t="s">
        <v>375</v>
      </c>
      <c r="R53" s="4" t="s">
        <v>377</v>
      </c>
      <c r="S53" s="4" t="s">
        <v>378</v>
      </c>
      <c r="T53" s="4" t="s">
        <v>379</v>
      </c>
      <c r="V53" s="22">
        <f t="shared" si="1"/>
        <v>0.7</v>
      </c>
    </row>
    <row r="54" spans="1:22" ht="45" customHeight="1" x14ac:dyDescent="0.2">
      <c r="A54" s="115" t="s">
        <v>380</v>
      </c>
      <c r="B54" s="49" t="s">
        <v>381</v>
      </c>
      <c r="C54" s="85" t="s">
        <v>23</v>
      </c>
      <c r="D54" s="75" t="s">
        <v>24</v>
      </c>
      <c r="E54" s="116" t="s">
        <v>31</v>
      </c>
      <c r="F54" s="49" t="s">
        <v>382</v>
      </c>
      <c r="H54" s="32" t="s">
        <v>27</v>
      </c>
      <c r="I54" s="32" t="s">
        <v>27</v>
      </c>
      <c r="J54" s="32" t="s">
        <v>27</v>
      </c>
      <c r="K54" s="16" t="s">
        <v>28</v>
      </c>
      <c r="L54" s="17" t="s">
        <v>383</v>
      </c>
      <c r="M54" s="17" t="s">
        <v>384</v>
      </c>
      <c r="N54" s="16" t="s">
        <v>28</v>
      </c>
      <c r="O54" s="17" t="s">
        <v>385</v>
      </c>
      <c r="P54" s="16" t="s">
        <v>28</v>
      </c>
      <c r="Q54" s="17" t="s">
        <v>386</v>
      </c>
      <c r="R54" s="16" t="s">
        <v>28</v>
      </c>
      <c r="S54" s="17" t="s">
        <v>387</v>
      </c>
      <c r="T54" s="17" t="s">
        <v>388</v>
      </c>
      <c r="V54" s="22">
        <f t="shared" si="1"/>
        <v>0.6</v>
      </c>
    </row>
    <row r="55" spans="1:22" ht="45" customHeight="1" x14ac:dyDescent="0.2">
      <c r="A55" s="50" t="s">
        <v>389</v>
      </c>
      <c r="B55" s="107" t="s">
        <v>390</v>
      </c>
      <c r="C55" s="76" t="s">
        <v>60</v>
      </c>
      <c r="D55" s="74" t="s">
        <v>47</v>
      </c>
      <c r="E55" s="51" t="s">
        <v>25</v>
      </c>
      <c r="F55" s="107" t="s">
        <v>391</v>
      </c>
      <c r="G55" s="12"/>
      <c r="H55" s="32" t="s">
        <v>27</v>
      </c>
      <c r="I55" s="32" t="s">
        <v>27</v>
      </c>
      <c r="J55" s="32" t="s">
        <v>27</v>
      </c>
      <c r="K55" s="3" t="s">
        <v>28</v>
      </c>
      <c r="L55" s="3" t="s">
        <v>28</v>
      </c>
      <c r="M55" s="3" t="s">
        <v>28</v>
      </c>
      <c r="N55" s="3" t="s">
        <v>28</v>
      </c>
      <c r="O55" s="3" t="s">
        <v>28</v>
      </c>
      <c r="P55" s="4" t="s">
        <v>392</v>
      </c>
      <c r="Q55" s="3" t="s">
        <v>28</v>
      </c>
      <c r="R55" s="3" t="s">
        <v>28</v>
      </c>
      <c r="S55" s="3" t="s">
        <v>28</v>
      </c>
      <c r="T55" s="4" t="s">
        <v>393</v>
      </c>
      <c r="V55" s="22">
        <f t="shared" si="1"/>
        <v>0.2</v>
      </c>
    </row>
    <row r="56" spans="1:22" ht="45" customHeight="1" x14ac:dyDescent="0.2">
      <c r="A56" s="50" t="s">
        <v>394</v>
      </c>
      <c r="B56" s="107" t="s">
        <v>395</v>
      </c>
      <c r="C56" s="76" t="s">
        <v>60</v>
      </c>
      <c r="D56" s="74" t="s">
        <v>47</v>
      </c>
      <c r="E56" s="51" t="s">
        <v>25</v>
      </c>
      <c r="F56" s="107" t="s">
        <v>396</v>
      </c>
      <c r="G56" s="12"/>
      <c r="H56" s="32" t="s">
        <v>27</v>
      </c>
      <c r="I56" s="32" t="s">
        <v>27</v>
      </c>
      <c r="J56" s="32" t="s">
        <v>27</v>
      </c>
      <c r="K56" s="3" t="s">
        <v>28</v>
      </c>
      <c r="L56" s="3" t="s">
        <v>28</v>
      </c>
      <c r="M56" s="3" t="s">
        <v>28</v>
      </c>
      <c r="N56" s="3" t="s">
        <v>28</v>
      </c>
      <c r="O56" s="3" t="s">
        <v>28</v>
      </c>
      <c r="P56" s="3" t="s">
        <v>28</v>
      </c>
      <c r="Q56" s="4" t="s">
        <v>397</v>
      </c>
      <c r="R56" s="3" t="s">
        <v>28</v>
      </c>
      <c r="S56" s="4" t="s">
        <v>398</v>
      </c>
      <c r="T56" s="4" t="s">
        <v>399</v>
      </c>
      <c r="V56" s="22">
        <f t="shared" si="1"/>
        <v>0.3</v>
      </c>
    </row>
    <row r="57" spans="1:22" ht="45" customHeight="1" x14ac:dyDescent="0.2">
      <c r="A57" s="46" t="s">
        <v>400</v>
      </c>
      <c r="B57" s="106" t="s">
        <v>401</v>
      </c>
      <c r="C57" s="73" t="s">
        <v>23</v>
      </c>
      <c r="D57" s="75" t="s">
        <v>24</v>
      </c>
      <c r="E57" s="47" t="s">
        <v>25</v>
      </c>
      <c r="F57" s="106" t="s">
        <v>402</v>
      </c>
      <c r="G57" s="12"/>
      <c r="H57" s="32" t="s">
        <v>27</v>
      </c>
      <c r="I57" s="32" t="s">
        <v>27</v>
      </c>
      <c r="J57" s="32" t="s">
        <v>27</v>
      </c>
      <c r="K57" s="3" t="s">
        <v>28</v>
      </c>
      <c r="L57" s="3" t="s">
        <v>28</v>
      </c>
      <c r="M57" s="4" t="s">
        <v>403</v>
      </c>
      <c r="N57" s="3" t="s">
        <v>28</v>
      </c>
      <c r="O57" s="3" t="s">
        <v>28</v>
      </c>
      <c r="P57" s="3" t="s">
        <v>28</v>
      </c>
      <c r="Q57" s="4" t="s">
        <v>404</v>
      </c>
      <c r="R57" s="3" t="s">
        <v>28</v>
      </c>
      <c r="S57" s="3" t="s">
        <v>28</v>
      </c>
      <c r="T57" s="3" t="s">
        <v>28</v>
      </c>
      <c r="V57" s="22">
        <f t="shared" si="1"/>
        <v>0.2</v>
      </c>
    </row>
    <row r="58" spans="1:22" ht="45" customHeight="1" x14ac:dyDescent="0.2">
      <c r="A58" s="46" t="s">
        <v>405</v>
      </c>
      <c r="B58" s="106" t="s">
        <v>406</v>
      </c>
      <c r="C58" s="75" t="s">
        <v>43</v>
      </c>
      <c r="D58" s="73" t="s">
        <v>23</v>
      </c>
      <c r="E58" s="47" t="s">
        <v>25</v>
      </c>
      <c r="F58" s="106" t="s">
        <v>407</v>
      </c>
      <c r="G58" s="12"/>
      <c r="H58" s="32" t="s">
        <v>27</v>
      </c>
      <c r="I58" s="32" t="s">
        <v>27</v>
      </c>
      <c r="J58" s="32" t="s">
        <v>27</v>
      </c>
      <c r="K58" s="3"/>
      <c r="L58" s="3"/>
      <c r="M58" s="4"/>
      <c r="N58" s="3"/>
      <c r="O58" s="3"/>
      <c r="P58" s="3"/>
      <c r="Q58" s="4"/>
      <c r="R58" s="3"/>
      <c r="S58" s="3"/>
      <c r="T58" s="3"/>
      <c r="V58" s="22"/>
    </row>
    <row r="59" spans="1:22" ht="45" customHeight="1" x14ac:dyDescent="0.2">
      <c r="A59" s="50" t="s">
        <v>408</v>
      </c>
      <c r="B59" s="107" t="s">
        <v>409</v>
      </c>
      <c r="C59" s="76" t="s">
        <v>60</v>
      </c>
      <c r="D59" s="75" t="s">
        <v>24</v>
      </c>
      <c r="E59" s="51" t="s">
        <v>25</v>
      </c>
      <c r="F59" s="51" t="s">
        <v>410</v>
      </c>
      <c r="G59" s="12"/>
      <c r="H59" s="32" t="s">
        <v>27</v>
      </c>
      <c r="I59" s="32" t="s">
        <v>27</v>
      </c>
      <c r="J59" s="32" t="s">
        <v>27</v>
      </c>
      <c r="K59" s="3" t="s">
        <v>28</v>
      </c>
      <c r="L59" s="3" t="s">
        <v>28</v>
      </c>
      <c r="M59" s="3" t="s">
        <v>28</v>
      </c>
      <c r="N59" s="3" t="s">
        <v>28</v>
      </c>
      <c r="O59" s="3" t="s">
        <v>28</v>
      </c>
      <c r="P59" s="3" t="s">
        <v>28</v>
      </c>
      <c r="Q59" s="3" t="s">
        <v>28</v>
      </c>
      <c r="R59" s="3" t="s">
        <v>28</v>
      </c>
      <c r="S59" s="3" t="s">
        <v>28</v>
      </c>
      <c r="T59" s="3" t="s">
        <v>28</v>
      </c>
      <c r="V59" s="22">
        <f>(10-COUNTIF(K59:T59,"N")-COUNTIF(K59:T59,"N/A"))/(10-COUNTIF(K59:T59,"N/A"))</f>
        <v>0</v>
      </c>
    </row>
    <row r="60" spans="1:22" ht="45" customHeight="1" x14ac:dyDescent="0.2">
      <c r="A60" s="50" t="s">
        <v>411</v>
      </c>
      <c r="B60" s="107" t="s">
        <v>412</v>
      </c>
      <c r="C60" s="76" t="s">
        <v>60</v>
      </c>
      <c r="D60" s="74" t="s">
        <v>47</v>
      </c>
      <c r="E60" s="51" t="s">
        <v>25</v>
      </c>
      <c r="F60" s="107" t="s">
        <v>413</v>
      </c>
      <c r="G60" s="12"/>
      <c r="H60" s="32" t="s">
        <v>27</v>
      </c>
      <c r="I60" s="32" t="s">
        <v>27</v>
      </c>
      <c r="J60" s="32" t="s">
        <v>27</v>
      </c>
      <c r="K60" s="3" t="s">
        <v>28</v>
      </c>
      <c r="L60" s="4" t="s">
        <v>414</v>
      </c>
      <c r="M60" s="3" t="s">
        <v>28</v>
      </c>
      <c r="N60" s="3" t="s">
        <v>28</v>
      </c>
      <c r="O60" s="3" t="s">
        <v>28</v>
      </c>
      <c r="P60" s="4" t="s">
        <v>415</v>
      </c>
      <c r="Q60" s="3" t="s">
        <v>28</v>
      </c>
      <c r="R60" s="3" t="s">
        <v>28</v>
      </c>
      <c r="S60" s="4" t="s">
        <v>416</v>
      </c>
      <c r="T60" s="3" t="s">
        <v>28</v>
      </c>
      <c r="V60" s="22">
        <f>(10-COUNTIF(K60:T60,"N")-COUNTIF(K60:T60,"N/A"))/(10-COUNTIF(K60:T60,"N/A"))</f>
        <v>0.3</v>
      </c>
    </row>
    <row r="61" spans="1:22" ht="45" customHeight="1" x14ac:dyDescent="0.2">
      <c r="A61" s="46" t="s">
        <v>417</v>
      </c>
      <c r="B61" s="106" t="s">
        <v>418</v>
      </c>
      <c r="C61" s="73" t="s">
        <v>23</v>
      </c>
      <c r="D61" s="74" t="s">
        <v>47</v>
      </c>
      <c r="E61" s="47" t="s">
        <v>25</v>
      </c>
      <c r="F61" s="47" t="s">
        <v>419</v>
      </c>
      <c r="G61" s="12"/>
      <c r="H61" s="32" t="s">
        <v>27</v>
      </c>
      <c r="I61" s="32" t="s">
        <v>27</v>
      </c>
      <c r="J61" s="32" t="s">
        <v>27</v>
      </c>
      <c r="K61" s="4" t="s">
        <v>420</v>
      </c>
      <c r="L61" s="4" t="s">
        <v>421</v>
      </c>
      <c r="M61" s="23" t="s">
        <v>422</v>
      </c>
      <c r="N61" s="3" t="s">
        <v>28</v>
      </c>
      <c r="O61" s="23" t="s">
        <v>423</v>
      </c>
      <c r="P61" s="4" t="s">
        <v>424</v>
      </c>
      <c r="Q61" s="4" t="s">
        <v>425</v>
      </c>
      <c r="R61" s="4" t="s">
        <v>426</v>
      </c>
      <c r="S61" s="4" t="s">
        <v>427</v>
      </c>
      <c r="T61" s="4" t="s">
        <v>428</v>
      </c>
      <c r="V61" s="22">
        <f>(10-COUNTIF(K61:T61,"N")-COUNTIF(K61:T61,"N/A"))/(10-COUNTIF(K61:T61,"N/A"))</f>
        <v>0.9</v>
      </c>
    </row>
    <row r="62" spans="1:22" ht="45" customHeight="1" x14ac:dyDescent="0.2">
      <c r="A62" s="46" t="s">
        <v>429</v>
      </c>
      <c r="B62" s="106" t="s">
        <v>430</v>
      </c>
      <c r="C62" s="73" t="s">
        <v>23</v>
      </c>
      <c r="D62" s="75" t="s">
        <v>43</v>
      </c>
      <c r="E62" s="47" t="s">
        <v>25</v>
      </c>
      <c r="F62" s="106" t="s">
        <v>431</v>
      </c>
      <c r="G62" s="12" t="s">
        <v>432</v>
      </c>
      <c r="H62" s="32" t="s">
        <v>27</v>
      </c>
      <c r="I62" s="32" t="s">
        <v>27</v>
      </c>
      <c r="J62" s="32" t="s">
        <v>27</v>
      </c>
      <c r="K62" s="4" t="s">
        <v>433</v>
      </c>
      <c r="L62" s="15" t="s">
        <v>434</v>
      </c>
      <c r="M62" s="4" t="s">
        <v>435</v>
      </c>
      <c r="N62" s="4" t="s">
        <v>436</v>
      </c>
      <c r="O62" s="4" t="s">
        <v>437</v>
      </c>
      <c r="P62" s="4" t="s">
        <v>438</v>
      </c>
      <c r="Q62" s="4" t="s">
        <v>439</v>
      </c>
      <c r="R62" s="4" t="s">
        <v>440</v>
      </c>
      <c r="S62" s="4" t="s">
        <v>433</v>
      </c>
      <c r="T62" s="4" t="s">
        <v>441</v>
      </c>
      <c r="V62" s="22">
        <f>(10-COUNTIF(K62:T62,"N")-COUNTIF(K62:T62,"N/A"))/(10-COUNTIF(K62:T62,"N/A"))</f>
        <v>1</v>
      </c>
    </row>
    <row r="63" spans="1:22" ht="45" customHeight="1" x14ac:dyDescent="0.2">
      <c r="A63" s="46" t="s">
        <v>442</v>
      </c>
      <c r="B63" s="106" t="s">
        <v>443</v>
      </c>
      <c r="C63" s="75" t="s">
        <v>43</v>
      </c>
      <c r="D63" s="73" t="s">
        <v>23</v>
      </c>
      <c r="E63" s="47" t="s">
        <v>25</v>
      </c>
      <c r="F63" s="106" t="s">
        <v>444</v>
      </c>
      <c r="G63" s="12" t="s">
        <v>432</v>
      </c>
      <c r="H63" s="32" t="s">
        <v>27</v>
      </c>
      <c r="I63" s="32" t="s">
        <v>27</v>
      </c>
      <c r="J63" s="32" t="s">
        <v>27</v>
      </c>
      <c r="K63" s="4"/>
      <c r="L63" s="15"/>
      <c r="M63" s="4"/>
      <c r="N63" s="4"/>
      <c r="O63" s="4"/>
      <c r="P63" s="4"/>
      <c r="Q63" s="4"/>
      <c r="R63" s="4"/>
      <c r="S63" s="4"/>
      <c r="T63" s="4"/>
      <c r="V63" s="22"/>
    </row>
    <row r="64" spans="1:22" ht="46" customHeight="1" x14ac:dyDescent="0.2">
      <c r="A64" s="46" t="s">
        <v>445</v>
      </c>
      <c r="B64" s="106" t="s">
        <v>446</v>
      </c>
      <c r="C64" s="73" t="s">
        <v>23</v>
      </c>
      <c r="D64" s="74" t="s">
        <v>47</v>
      </c>
      <c r="E64" s="47" t="s">
        <v>25</v>
      </c>
      <c r="F64" s="47" t="s">
        <v>447</v>
      </c>
      <c r="G64" s="12" t="s">
        <v>432</v>
      </c>
      <c r="H64" s="32" t="s">
        <v>27</v>
      </c>
      <c r="I64" s="32" t="s">
        <v>27</v>
      </c>
      <c r="J64" s="32" t="s">
        <v>27</v>
      </c>
      <c r="K64" s="3" t="s">
        <v>28</v>
      </c>
      <c r="L64" s="15" t="s">
        <v>448</v>
      </c>
      <c r="M64" s="4" t="s">
        <v>449</v>
      </c>
      <c r="N64" s="4" t="s">
        <v>450</v>
      </c>
      <c r="O64" s="3" t="s">
        <v>28</v>
      </c>
      <c r="P64" s="4" t="s">
        <v>451</v>
      </c>
      <c r="Q64" s="4" t="s">
        <v>452</v>
      </c>
      <c r="R64" s="3" t="s">
        <v>28</v>
      </c>
      <c r="S64" s="4" t="s">
        <v>453</v>
      </c>
      <c r="T64" s="4" t="s">
        <v>454</v>
      </c>
      <c r="V64" s="22">
        <f>(10-COUNTIF(K64:T64,"N")-COUNTIF(K64:T64,"N/A"))/(10-COUNTIF(K64:T64,"N/A"))</f>
        <v>0.7</v>
      </c>
    </row>
    <row r="65" spans="1:22" ht="45" customHeight="1" x14ac:dyDescent="0.2">
      <c r="A65" s="46" t="s">
        <v>455</v>
      </c>
      <c r="B65" s="106" t="s">
        <v>456</v>
      </c>
      <c r="C65" s="73" t="s">
        <v>23</v>
      </c>
      <c r="D65" s="74" t="s">
        <v>47</v>
      </c>
      <c r="E65" s="47" t="s">
        <v>315</v>
      </c>
      <c r="F65" s="106" t="s">
        <v>457</v>
      </c>
      <c r="G65" s="12"/>
      <c r="H65" s="32" t="s">
        <v>27</v>
      </c>
      <c r="I65" s="32" t="s">
        <v>27</v>
      </c>
      <c r="J65" s="32" t="s">
        <v>27</v>
      </c>
      <c r="K65" s="3" t="s">
        <v>28</v>
      </c>
      <c r="L65" s="15" t="s">
        <v>458</v>
      </c>
      <c r="M65" s="3" t="s">
        <v>28</v>
      </c>
      <c r="N65" s="3" t="s">
        <v>28</v>
      </c>
      <c r="O65" s="3" t="s">
        <v>28</v>
      </c>
      <c r="P65" s="4" t="s">
        <v>459</v>
      </c>
      <c r="Q65" s="4" t="s">
        <v>460</v>
      </c>
      <c r="R65" s="3" t="s">
        <v>28</v>
      </c>
      <c r="S65" s="4" t="s">
        <v>461</v>
      </c>
      <c r="T65" s="4" t="s">
        <v>462</v>
      </c>
      <c r="V65" s="22">
        <f>(10-COUNTIF(K65:T65,"N")-COUNTIF(K65:T65,"N/A"))/(10-COUNTIF(K65:T65,"N/A"))</f>
        <v>0.5</v>
      </c>
    </row>
    <row r="66" spans="1:22" ht="45" customHeight="1" x14ac:dyDescent="0.2">
      <c r="A66" s="48" t="s">
        <v>463</v>
      </c>
      <c r="B66" s="49" t="s">
        <v>464</v>
      </c>
      <c r="C66" s="84" t="s">
        <v>60</v>
      </c>
      <c r="D66" s="75" t="s">
        <v>24</v>
      </c>
      <c r="E66" s="47" t="s">
        <v>25</v>
      </c>
      <c r="F66" s="49" t="s">
        <v>465</v>
      </c>
      <c r="H66" s="32" t="s">
        <v>27</v>
      </c>
      <c r="I66" s="32" t="s">
        <v>27</v>
      </c>
      <c r="J66" s="33" t="s">
        <v>28</v>
      </c>
      <c r="K66" s="17" t="s">
        <v>466</v>
      </c>
      <c r="L66" s="17" t="s">
        <v>467</v>
      </c>
      <c r="M66" s="17" t="s">
        <v>468</v>
      </c>
      <c r="N66" s="17" t="s">
        <v>469</v>
      </c>
      <c r="O66" s="17" t="s">
        <v>470</v>
      </c>
      <c r="P66" s="17" t="s">
        <v>471</v>
      </c>
      <c r="Q66" s="17" t="s">
        <v>472</v>
      </c>
      <c r="R66" s="17" t="s">
        <v>470</v>
      </c>
      <c r="S66" s="17" t="s">
        <v>473</v>
      </c>
      <c r="T66" s="17" t="s">
        <v>474</v>
      </c>
      <c r="V66" s="22">
        <f>(10-COUNTIF(K66:T66,"N")-COUNTIF(K66:T66,"N/A"))/(10-COUNTIF(K66:T66,"N/A"))</f>
        <v>1</v>
      </c>
    </row>
    <row r="67" spans="1:22" ht="45" customHeight="1" x14ac:dyDescent="0.2">
      <c r="A67" s="48" t="s">
        <v>475</v>
      </c>
      <c r="B67" s="49" t="s">
        <v>476</v>
      </c>
      <c r="C67" s="99" t="s">
        <v>43</v>
      </c>
      <c r="D67" s="73" t="s">
        <v>23</v>
      </c>
      <c r="E67" s="117" t="s">
        <v>25</v>
      </c>
      <c r="F67" s="49" t="s">
        <v>477</v>
      </c>
      <c r="H67" s="32" t="s">
        <v>27</v>
      </c>
      <c r="I67" s="32" t="s">
        <v>27</v>
      </c>
      <c r="J67" s="32" t="s">
        <v>27</v>
      </c>
      <c r="K67" s="17"/>
      <c r="L67" s="17"/>
      <c r="M67" s="17"/>
      <c r="N67" s="17"/>
      <c r="O67" s="17"/>
      <c r="P67" s="17"/>
      <c r="Q67" s="17"/>
      <c r="R67" s="17"/>
      <c r="S67" s="17"/>
      <c r="T67" s="17"/>
      <c r="V67" s="22"/>
    </row>
    <row r="68" spans="1:22" ht="45" customHeight="1" x14ac:dyDescent="0.2">
      <c r="A68" s="48" t="s">
        <v>478</v>
      </c>
      <c r="B68" s="49" t="s">
        <v>479</v>
      </c>
      <c r="C68" s="99" t="s">
        <v>43</v>
      </c>
      <c r="D68" s="73" t="s">
        <v>23</v>
      </c>
      <c r="E68" s="47" t="s">
        <v>480</v>
      </c>
      <c r="F68" s="49" t="s">
        <v>481</v>
      </c>
      <c r="H68" s="32" t="s">
        <v>27</v>
      </c>
      <c r="I68" s="32" t="s">
        <v>27</v>
      </c>
      <c r="J68" s="32" t="s">
        <v>27</v>
      </c>
      <c r="K68" s="17"/>
      <c r="L68" s="17"/>
      <c r="M68" s="17"/>
      <c r="N68" s="17"/>
      <c r="O68" s="17"/>
      <c r="P68" s="17"/>
      <c r="Q68" s="17"/>
      <c r="R68" s="17"/>
      <c r="S68" s="17"/>
      <c r="T68" s="17"/>
      <c r="V68" s="22"/>
    </row>
    <row r="69" spans="1:22" ht="45" customHeight="1" x14ac:dyDescent="0.2">
      <c r="A69" s="48" t="s">
        <v>482</v>
      </c>
      <c r="B69" s="49" t="s">
        <v>483</v>
      </c>
      <c r="C69" s="99" t="s">
        <v>43</v>
      </c>
      <c r="D69" s="73" t="s">
        <v>23</v>
      </c>
      <c r="E69" s="117" t="s">
        <v>484</v>
      </c>
      <c r="F69" s="49" t="s">
        <v>485</v>
      </c>
      <c r="H69" s="33" t="s">
        <v>28</v>
      </c>
      <c r="I69" s="32" t="s">
        <v>27</v>
      </c>
      <c r="J69" s="33" t="s">
        <v>28</v>
      </c>
      <c r="K69" s="17"/>
      <c r="L69" s="17"/>
      <c r="M69" s="17"/>
      <c r="N69" s="17"/>
      <c r="O69" s="17"/>
      <c r="P69" s="17"/>
      <c r="Q69" s="17"/>
      <c r="R69" s="17"/>
      <c r="S69" s="17"/>
      <c r="T69" s="17"/>
      <c r="V69" s="22"/>
    </row>
    <row r="70" spans="1:22" ht="45" customHeight="1" x14ac:dyDescent="0.2">
      <c r="A70" s="48" t="s">
        <v>486</v>
      </c>
      <c r="B70" s="49" t="s">
        <v>487</v>
      </c>
      <c r="C70" s="99" t="s">
        <v>43</v>
      </c>
      <c r="D70" s="73" t="s">
        <v>23</v>
      </c>
      <c r="E70" s="117" t="s">
        <v>25</v>
      </c>
      <c r="F70" s="49" t="s">
        <v>488</v>
      </c>
      <c r="H70" s="33" t="s">
        <v>28</v>
      </c>
      <c r="I70" s="33" t="s">
        <v>28</v>
      </c>
      <c r="J70" s="32" t="s">
        <v>27</v>
      </c>
      <c r="K70" s="17"/>
      <c r="L70" s="17"/>
      <c r="M70" s="17"/>
      <c r="N70" s="17"/>
      <c r="O70" s="17"/>
      <c r="P70" s="17"/>
      <c r="Q70" s="17"/>
      <c r="R70" s="17"/>
      <c r="S70" s="17"/>
      <c r="T70" s="17"/>
      <c r="V70" s="22"/>
    </row>
    <row r="71" spans="1:22" ht="45" customHeight="1" x14ac:dyDescent="0.2"/>
    <row r="72" spans="1:22" ht="45" customHeight="1" x14ac:dyDescent="0.15">
      <c r="A72" s="30" t="s">
        <v>489</v>
      </c>
      <c r="B72" s="30"/>
      <c r="C72" s="19"/>
      <c r="D72" s="19"/>
      <c r="E72" s="30"/>
      <c r="F72" s="30"/>
      <c r="G72" s="9"/>
      <c r="H72" s="9"/>
      <c r="I72" s="9"/>
      <c r="J72" s="9"/>
      <c r="K72" s="10"/>
      <c r="L72" s="11"/>
      <c r="M72" s="11"/>
      <c r="N72" s="11"/>
      <c r="O72" s="11"/>
      <c r="V72" s="9"/>
    </row>
    <row r="73" spans="1:22" ht="45" customHeight="1" x14ac:dyDescent="0.2">
      <c r="A73" s="52" t="s">
        <v>490</v>
      </c>
      <c r="B73" s="108" t="s">
        <v>491</v>
      </c>
      <c r="C73" s="77" t="s">
        <v>23</v>
      </c>
      <c r="D73" s="78" t="s">
        <v>24</v>
      </c>
      <c r="E73" s="53" t="s">
        <v>25</v>
      </c>
      <c r="F73" s="108" t="s">
        <v>492</v>
      </c>
      <c r="G73" s="12"/>
      <c r="H73" s="32" t="s">
        <v>27</v>
      </c>
      <c r="I73" s="32" t="s">
        <v>27</v>
      </c>
      <c r="J73" s="32" t="s">
        <v>27</v>
      </c>
      <c r="K73" s="4" t="s">
        <v>493</v>
      </c>
      <c r="L73" s="15" t="s">
        <v>494</v>
      </c>
      <c r="M73" s="4" t="s">
        <v>495</v>
      </c>
      <c r="N73" s="4" t="s">
        <v>496</v>
      </c>
      <c r="O73" s="4" t="s">
        <v>497</v>
      </c>
      <c r="P73" s="4" t="s">
        <v>498</v>
      </c>
      <c r="Q73" s="4" t="s">
        <v>499</v>
      </c>
      <c r="R73" s="4" t="s">
        <v>500</v>
      </c>
      <c r="S73" s="4" t="s">
        <v>501</v>
      </c>
      <c r="T73" s="4" t="s">
        <v>502</v>
      </c>
      <c r="V73" s="22">
        <f t="shared" ref="V73:V87" si="2">(10-COUNTIF(K73:T73,"N")-COUNTIF(K73:T73,"N/A"))/(10-COUNTIF(K73:T73,"N/A"))</f>
        <v>1</v>
      </c>
    </row>
    <row r="74" spans="1:22" ht="45" customHeight="1" x14ac:dyDescent="0.2">
      <c r="A74" s="52" t="s">
        <v>503</v>
      </c>
      <c r="B74" s="108" t="s">
        <v>504</v>
      </c>
      <c r="C74" s="77" t="s">
        <v>23</v>
      </c>
      <c r="D74" s="78" t="s">
        <v>24</v>
      </c>
      <c r="E74" s="53" t="s">
        <v>25</v>
      </c>
      <c r="F74" s="108" t="s">
        <v>505</v>
      </c>
      <c r="G74" s="12"/>
      <c r="H74" s="32" t="s">
        <v>27</v>
      </c>
      <c r="I74" s="32" t="s">
        <v>27</v>
      </c>
      <c r="J74" s="32" t="s">
        <v>27</v>
      </c>
      <c r="K74" s="4" t="s">
        <v>506</v>
      </c>
      <c r="L74" s="15" t="s">
        <v>507</v>
      </c>
      <c r="M74" s="4" t="s">
        <v>508</v>
      </c>
      <c r="N74" s="4" t="s">
        <v>509</v>
      </c>
      <c r="O74" s="4" t="s">
        <v>510</v>
      </c>
      <c r="P74" s="4" t="s">
        <v>511</v>
      </c>
      <c r="Q74" s="4" t="s">
        <v>512</v>
      </c>
      <c r="R74" s="4" t="s">
        <v>513</v>
      </c>
      <c r="S74" s="4" t="s">
        <v>514</v>
      </c>
      <c r="T74" s="4" t="s">
        <v>515</v>
      </c>
      <c r="V74" s="22">
        <f t="shared" si="2"/>
        <v>1</v>
      </c>
    </row>
    <row r="75" spans="1:22" ht="45" customHeight="1" x14ac:dyDescent="0.2">
      <c r="A75" s="52" t="s">
        <v>516</v>
      </c>
      <c r="B75" s="108" t="s">
        <v>517</v>
      </c>
      <c r="C75" s="77" t="s">
        <v>23</v>
      </c>
      <c r="D75" s="78" t="s">
        <v>24</v>
      </c>
      <c r="E75" s="53" t="s">
        <v>25</v>
      </c>
      <c r="F75" s="53" t="s">
        <v>518</v>
      </c>
      <c r="G75" s="12"/>
      <c r="H75" s="32" t="s">
        <v>27</v>
      </c>
      <c r="I75" s="32" t="s">
        <v>27</v>
      </c>
      <c r="J75" s="32" t="s">
        <v>27</v>
      </c>
      <c r="K75" s="4" t="s">
        <v>519</v>
      </c>
      <c r="L75" s="15" t="s">
        <v>520</v>
      </c>
      <c r="M75" s="4" t="s">
        <v>521</v>
      </c>
      <c r="N75" s="23" t="s">
        <v>522</v>
      </c>
      <c r="O75" s="4" t="s">
        <v>523</v>
      </c>
      <c r="P75" s="4" t="s">
        <v>524</v>
      </c>
      <c r="Q75" s="4" t="s">
        <v>525</v>
      </c>
      <c r="R75" s="4" t="s">
        <v>526</v>
      </c>
      <c r="S75" s="4" t="s">
        <v>527</v>
      </c>
      <c r="T75" s="4" t="s">
        <v>528</v>
      </c>
      <c r="V75" s="22">
        <f t="shared" si="2"/>
        <v>1</v>
      </c>
    </row>
    <row r="76" spans="1:22" ht="45" customHeight="1" x14ac:dyDescent="0.2">
      <c r="A76" s="91" t="s">
        <v>529</v>
      </c>
      <c r="B76" s="54" t="s">
        <v>530</v>
      </c>
      <c r="C76" s="86" t="s">
        <v>60</v>
      </c>
      <c r="D76" s="82" t="s">
        <v>47</v>
      </c>
      <c r="E76" s="89" t="s">
        <v>25</v>
      </c>
      <c r="F76" s="54" t="s">
        <v>531</v>
      </c>
      <c r="H76" s="32" t="s">
        <v>27</v>
      </c>
      <c r="I76" s="32" t="s">
        <v>27</v>
      </c>
      <c r="J76" s="32" t="s">
        <v>27</v>
      </c>
      <c r="K76" s="16" t="s">
        <v>28</v>
      </c>
      <c r="L76" s="16" t="s">
        <v>28</v>
      </c>
      <c r="M76" s="17" t="s">
        <v>532</v>
      </c>
      <c r="N76" s="16" t="s">
        <v>28</v>
      </c>
      <c r="O76" s="16" t="s">
        <v>28</v>
      </c>
      <c r="P76" s="16" t="s">
        <v>28</v>
      </c>
      <c r="Q76" s="16" t="s">
        <v>28</v>
      </c>
      <c r="R76" s="16" t="s">
        <v>28</v>
      </c>
      <c r="S76" s="16" t="s">
        <v>28</v>
      </c>
      <c r="T76" s="17" t="s">
        <v>533</v>
      </c>
      <c r="V76" s="22">
        <f t="shared" si="2"/>
        <v>0.2</v>
      </c>
    </row>
    <row r="77" spans="1:22" ht="45" customHeight="1" x14ac:dyDescent="0.2">
      <c r="A77" s="55" t="s">
        <v>534</v>
      </c>
      <c r="B77" s="56" t="s">
        <v>535</v>
      </c>
      <c r="C77" s="79" t="s">
        <v>60</v>
      </c>
      <c r="D77" s="78" t="s">
        <v>24</v>
      </c>
      <c r="E77" s="56" t="s">
        <v>25</v>
      </c>
      <c r="F77" s="56" t="s">
        <v>536</v>
      </c>
      <c r="G77" s="12"/>
      <c r="H77" s="32" t="s">
        <v>27</v>
      </c>
      <c r="I77" s="32" t="s">
        <v>27</v>
      </c>
      <c r="J77" s="32" t="s">
        <v>27</v>
      </c>
      <c r="K77" s="3" t="s">
        <v>28</v>
      </c>
      <c r="L77" s="3" t="s">
        <v>28</v>
      </c>
      <c r="M77" s="3" t="s">
        <v>28</v>
      </c>
      <c r="N77" s="3" t="s">
        <v>28</v>
      </c>
      <c r="O77" s="3" t="s">
        <v>28</v>
      </c>
      <c r="P77" s="3" t="s">
        <v>28</v>
      </c>
      <c r="Q77" s="3" t="s">
        <v>28</v>
      </c>
      <c r="R77" s="3" t="s">
        <v>28</v>
      </c>
      <c r="S77" s="3" t="s">
        <v>28</v>
      </c>
      <c r="T77" s="3" t="s">
        <v>28</v>
      </c>
      <c r="V77" s="22">
        <f t="shared" si="2"/>
        <v>0</v>
      </c>
    </row>
    <row r="78" spans="1:22" ht="45" customHeight="1" x14ac:dyDescent="0.2">
      <c r="A78" s="52" t="s">
        <v>537</v>
      </c>
      <c r="B78" s="108" t="s">
        <v>538</v>
      </c>
      <c r="C78" s="77" t="s">
        <v>23</v>
      </c>
      <c r="D78" s="78" t="s">
        <v>24</v>
      </c>
      <c r="E78" s="56" t="s">
        <v>25</v>
      </c>
      <c r="F78" s="108" t="s">
        <v>539</v>
      </c>
      <c r="G78" s="12"/>
      <c r="H78" s="32" t="s">
        <v>27</v>
      </c>
      <c r="I78" s="32" t="s">
        <v>27</v>
      </c>
      <c r="J78" s="32" t="s">
        <v>27</v>
      </c>
      <c r="K78" s="3" t="s">
        <v>28</v>
      </c>
      <c r="L78" s="4" t="s">
        <v>540</v>
      </c>
      <c r="M78" s="4" t="s">
        <v>541</v>
      </c>
      <c r="N78" s="4" t="s">
        <v>542</v>
      </c>
      <c r="O78" s="4" t="s">
        <v>543</v>
      </c>
      <c r="P78" s="4" t="s">
        <v>544</v>
      </c>
      <c r="Q78" s="3" t="s">
        <v>28</v>
      </c>
      <c r="R78" s="4" t="s">
        <v>545</v>
      </c>
      <c r="S78" s="3" t="s">
        <v>28</v>
      </c>
      <c r="T78" s="4" t="s">
        <v>546</v>
      </c>
      <c r="V78" s="22">
        <f t="shared" si="2"/>
        <v>0.7</v>
      </c>
    </row>
    <row r="79" spans="1:22" ht="45" customHeight="1" x14ac:dyDescent="0.2">
      <c r="A79" s="59" t="s">
        <v>547</v>
      </c>
      <c r="B79" s="109" t="s">
        <v>548</v>
      </c>
      <c r="C79" s="80" t="s">
        <v>43</v>
      </c>
      <c r="D79" s="77" t="s">
        <v>23</v>
      </c>
      <c r="E79" s="60" t="s">
        <v>315</v>
      </c>
      <c r="F79" s="60" t="s">
        <v>549</v>
      </c>
      <c r="G79" s="12"/>
      <c r="H79" s="32" t="s">
        <v>27</v>
      </c>
      <c r="I79" s="32" t="s">
        <v>27</v>
      </c>
      <c r="J79" s="33" t="s">
        <v>28</v>
      </c>
      <c r="K79" s="3" t="s">
        <v>28</v>
      </c>
      <c r="L79" s="4" t="s">
        <v>550</v>
      </c>
      <c r="M79" s="4" t="s">
        <v>551</v>
      </c>
      <c r="N79" s="3" t="s">
        <v>28</v>
      </c>
      <c r="O79" s="3" t="s">
        <v>28</v>
      </c>
      <c r="P79" s="4" t="s">
        <v>552</v>
      </c>
      <c r="Q79" s="4" t="s">
        <v>553</v>
      </c>
      <c r="R79" s="4" t="s">
        <v>554</v>
      </c>
      <c r="S79" s="4" t="s">
        <v>555</v>
      </c>
      <c r="T79" s="4" t="s">
        <v>556</v>
      </c>
      <c r="V79" s="22">
        <f t="shared" si="2"/>
        <v>0.7</v>
      </c>
    </row>
    <row r="80" spans="1:22" ht="45" customHeight="1" x14ac:dyDescent="0.2">
      <c r="A80" s="55" t="s">
        <v>557</v>
      </c>
      <c r="B80" s="110" t="s">
        <v>558</v>
      </c>
      <c r="C80" s="79" t="s">
        <v>60</v>
      </c>
      <c r="D80" s="82" t="s">
        <v>47</v>
      </c>
      <c r="E80" s="56" t="s">
        <v>25</v>
      </c>
      <c r="F80" s="56" t="s">
        <v>559</v>
      </c>
      <c r="G80" s="12"/>
      <c r="H80" s="32" t="s">
        <v>27</v>
      </c>
      <c r="I80" s="32" t="s">
        <v>27</v>
      </c>
      <c r="J80" s="32" t="s">
        <v>27</v>
      </c>
      <c r="K80" s="3" t="s">
        <v>28</v>
      </c>
      <c r="L80" s="4" t="s">
        <v>560</v>
      </c>
      <c r="M80" s="4" t="s">
        <v>561</v>
      </c>
      <c r="N80" s="4" t="s">
        <v>562</v>
      </c>
      <c r="O80" s="4" t="s">
        <v>563</v>
      </c>
      <c r="P80" s="3" t="s">
        <v>28</v>
      </c>
      <c r="Q80" s="3" t="s">
        <v>28</v>
      </c>
      <c r="R80" s="4" t="s">
        <v>564</v>
      </c>
      <c r="S80" s="3" t="s">
        <v>28</v>
      </c>
      <c r="T80" s="3" t="s">
        <v>28</v>
      </c>
      <c r="V80" s="22">
        <f t="shared" si="2"/>
        <v>0.5</v>
      </c>
    </row>
    <row r="81" spans="1:22" ht="45" customHeight="1" x14ac:dyDescent="0.2">
      <c r="A81" s="52" t="s">
        <v>565</v>
      </c>
      <c r="B81" s="108" t="s">
        <v>566</v>
      </c>
      <c r="C81" s="77" t="s">
        <v>23</v>
      </c>
      <c r="D81" s="78" t="s">
        <v>24</v>
      </c>
      <c r="E81" s="53" t="s">
        <v>25</v>
      </c>
      <c r="F81" s="108" t="s">
        <v>567</v>
      </c>
      <c r="G81" s="12"/>
      <c r="H81" s="32" t="s">
        <v>27</v>
      </c>
      <c r="I81" s="32" t="s">
        <v>27</v>
      </c>
      <c r="J81" s="32" t="s">
        <v>27</v>
      </c>
      <c r="K81" s="3" t="s">
        <v>28</v>
      </c>
      <c r="L81" s="4" t="s">
        <v>568</v>
      </c>
      <c r="M81" s="3" t="s">
        <v>28</v>
      </c>
      <c r="N81" s="4" t="s">
        <v>569</v>
      </c>
      <c r="O81" s="3" t="s">
        <v>28</v>
      </c>
      <c r="P81" s="4" t="s">
        <v>570</v>
      </c>
      <c r="Q81" s="4" t="s">
        <v>571</v>
      </c>
      <c r="R81" s="3" t="s">
        <v>28</v>
      </c>
      <c r="S81" s="4" t="s">
        <v>572</v>
      </c>
      <c r="T81" s="4" t="s">
        <v>573</v>
      </c>
      <c r="V81" s="22">
        <f t="shared" si="2"/>
        <v>0.6</v>
      </c>
    </row>
    <row r="82" spans="1:22" ht="45" customHeight="1" x14ac:dyDescent="0.2">
      <c r="A82" s="55" t="s">
        <v>574</v>
      </c>
      <c r="B82" s="56" t="s">
        <v>575</v>
      </c>
      <c r="C82" s="79" t="s">
        <v>60</v>
      </c>
      <c r="D82" s="82" t="s">
        <v>47</v>
      </c>
      <c r="E82" s="56" t="s">
        <v>99</v>
      </c>
      <c r="F82" s="56" t="s">
        <v>576</v>
      </c>
      <c r="G82" s="12"/>
      <c r="H82" s="32" t="s">
        <v>27</v>
      </c>
      <c r="I82" s="32" t="s">
        <v>27</v>
      </c>
      <c r="J82" s="32" t="s">
        <v>27</v>
      </c>
      <c r="K82" s="3" t="s">
        <v>28</v>
      </c>
      <c r="L82" s="3" t="s">
        <v>28</v>
      </c>
      <c r="M82" s="3" t="s">
        <v>28</v>
      </c>
      <c r="N82" s="3" t="s">
        <v>28</v>
      </c>
      <c r="O82" s="3" t="s">
        <v>28</v>
      </c>
      <c r="P82" s="3" t="s">
        <v>28</v>
      </c>
      <c r="Q82" s="3" t="s">
        <v>28</v>
      </c>
      <c r="R82" s="3" t="s">
        <v>28</v>
      </c>
      <c r="S82" s="3" t="s">
        <v>28</v>
      </c>
      <c r="T82" s="3" t="s">
        <v>28</v>
      </c>
      <c r="V82" s="22">
        <f t="shared" si="2"/>
        <v>0</v>
      </c>
    </row>
    <row r="83" spans="1:22" ht="42" customHeight="1" x14ac:dyDescent="0.2">
      <c r="A83" s="52" t="s">
        <v>577</v>
      </c>
      <c r="B83" s="108" t="s">
        <v>578</v>
      </c>
      <c r="C83" s="77" t="s">
        <v>23</v>
      </c>
      <c r="D83" s="78" t="s">
        <v>24</v>
      </c>
      <c r="E83" s="53" t="s">
        <v>579</v>
      </c>
      <c r="F83" s="53" t="s">
        <v>580</v>
      </c>
      <c r="G83" s="12" t="s">
        <v>432</v>
      </c>
      <c r="H83" s="32" t="s">
        <v>27</v>
      </c>
      <c r="I83" s="32" t="s">
        <v>27</v>
      </c>
      <c r="J83" s="32" t="s">
        <v>27</v>
      </c>
      <c r="K83" s="3" t="s">
        <v>28</v>
      </c>
      <c r="L83" s="15" t="s">
        <v>581</v>
      </c>
      <c r="M83" s="4" t="s">
        <v>582</v>
      </c>
      <c r="N83" s="3" t="s">
        <v>28</v>
      </c>
      <c r="O83" s="23" t="s">
        <v>583</v>
      </c>
      <c r="P83" s="4" t="s">
        <v>584</v>
      </c>
      <c r="Q83" s="3" t="s">
        <v>28</v>
      </c>
      <c r="R83" s="3" t="s">
        <v>28</v>
      </c>
      <c r="S83" s="3" t="s">
        <v>28</v>
      </c>
      <c r="T83" s="4" t="s">
        <v>585</v>
      </c>
      <c r="V83" s="22">
        <f t="shared" si="2"/>
        <v>0.5</v>
      </c>
    </row>
    <row r="84" spans="1:22" ht="45" customHeight="1" x14ac:dyDescent="0.2">
      <c r="A84" s="57" t="s">
        <v>586</v>
      </c>
      <c r="B84" s="58" t="s">
        <v>587</v>
      </c>
      <c r="C84" s="81" t="s">
        <v>60</v>
      </c>
      <c r="D84" s="78" t="s">
        <v>24</v>
      </c>
      <c r="E84" s="58" t="s">
        <v>25</v>
      </c>
      <c r="F84" s="111" t="s">
        <v>588</v>
      </c>
      <c r="G84" s="12" t="s">
        <v>432</v>
      </c>
      <c r="H84" s="32" t="s">
        <v>27</v>
      </c>
      <c r="I84" s="32" t="s">
        <v>27</v>
      </c>
      <c r="J84" s="32" t="s">
        <v>27</v>
      </c>
      <c r="K84" s="3" t="s">
        <v>28</v>
      </c>
      <c r="L84" s="15" t="s">
        <v>589</v>
      </c>
      <c r="M84" s="23" t="s">
        <v>590</v>
      </c>
      <c r="N84" s="3" t="s">
        <v>28</v>
      </c>
      <c r="O84" s="23" t="s">
        <v>591</v>
      </c>
      <c r="P84" s="4" t="s">
        <v>592</v>
      </c>
      <c r="Q84" s="3" t="s">
        <v>28</v>
      </c>
      <c r="R84" s="3" t="s">
        <v>28</v>
      </c>
      <c r="S84" s="4" t="s">
        <v>593</v>
      </c>
      <c r="T84" s="4" t="s">
        <v>594</v>
      </c>
      <c r="V84" s="22">
        <f t="shared" si="2"/>
        <v>0.6</v>
      </c>
    </row>
    <row r="85" spans="1:22" ht="45" customHeight="1" x14ac:dyDescent="0.2">
      <c r="A85" s="55" t="s">
        <v>595</v>
      </c>
      <c r="B85" s="56" t="s">
        <v>596</v>
      </c>
      <c r="C85" s="79" t="s">
        <v>60</v>
      </c>
      <c r="D85" s="78" t="s">
        <v>24</v>
      </c>
      <c r="E85" s="56" t="s">
        <v>25</v>
      </c>
      <c r="F85" s="110" t="s">
        <v>597</v>
      </c>
      <c r="G85" s="12" t="s">
        <v>432</v>
      </c>
      <c r="H85" s="32" t="s">
        <v>27</v>
      </c>
      <c r="I85" s="32" t="s">
        <v>27</v>
      </c>
      <c r="J85" s="32" t="s">
        <v>27</v>
      </c>
      <c r="K85" s="3" t="s">
        <v>28</v>
      </c>
      <c r="L85" s="15" t="s">
        <v>598</v>
      </c>
      <c r="M85" s="23" t="s">
        <v>599</v>
      </c>
      <c r="N85" s="3" t="s">
        <v>28</v>
      </c>
      <c r="O85" s="23" t="s">
        <v>600</v>
      </c>
      <c r="P85" s="4" t="s">
        <v>601</v>
      </c>
      <c r="Q85" s="3" t="s">
        <v>28</v>
      </c>
      <c r="R85" s="3" t="s">
        <v>28</v>
      </c>
      <c r="S85" s="4" t="s">
        <v>602</v>
      </c>
      <c r="T85" s="4" t="s">
        <v>603</v>
      </c>
      <c r="V85" s="22">
        <f t="shared" si="2"/>
        <v>0.6</v>
      </c>
    </row>
    <row r="86" spans="1:22" ht="69" customHeight="1" x14ac:dyDescent="0.2">
      <c r="A86" s="55" t="s">
        <v>604</v>
      </c>
      <c r="B86" s="110" t="s">
        <v>605</v>
      </c>
      <c r="C86" s="79" t="s">
        <v>60</v>
      </c>
      <c r="D86" s="82" t="s">
        <v>47</v>
      </c>
      <c r="E86" s="56" t="s">
        <v>25</v>
      </c>
      <c r="F86" s="110" t="s">
        <v>606</v>
      </c>
      <c r="G86" s="12"/>
      <c r="H86" s="32" t="s">
        <v>27</v>
      </c>
      <c r="I86" s="32" t="s">
        <v>27</v>
      </c>
      <c r="J86" s="32" t="s">
        <v>27</v>
      </c>
      <c r="K86" s="3" t="s">
        <v>28</v>
      </c>
      <c r="L86" s="3" t="s">
        <v>28</v>
      </c>
      <c r="M86" s="3" t="s">
        <v>28</v>
      </c>
      <c r="N86" s="3" t="s">
        <v>28</v>
      </c>
      <c r="O86" s="3" t="s">
        <v>28</v>
      </c>
      <c r="P86" s="3" t="s">
        <v>28</v>
      </c>
      <c r="Q86" s="3" t="s">
        <v>28</v>
      </c>
      <c r="R86" s="3" t="s">
        <v>28</v>
      </c>
      <c r="S86" s="3" t="s">
        <v>28</v>
      </c>
      <c r="T86" s="3" t="s">
        <v>28</v>
      </c>
      <c r="V86" s="22">
        <f t="shared" si="2"/>
        <v>0</v>
      </c>
    </row>
    <row r="87" spans="1:22" ht="45" customHeight="1" x14ac:dyDescent="0.2">
      <c r="A87" s="55" t="s">
        <v>607</v>
      </c>
      <c r="B87" s="110" t="s">
        <v>608</v>
      </c>
      <c r="C87" s="79" t="s">
        <v>60</v>
      </c>
      <c r="D87" s="82" t="s">
        <v>47</v>
      </c>
      <c r="E87" s="56" t="s">
        <v>25</v>
      </c>
      <c r="F87" s="110" t="s">
        <v>609</v>
      </c>
      <c r="G87" s="12"/>
      <c r="H87" s="32" t="s">
        <v>27</v>
      </c>
      <c r="I87" s="32" t="s">
        <v>27</v>
      </c>
      <c r="J87" s="32" t="s">
        <v>27</v>
      </c>
      <c r="K87" s="4" t="s">
        <v>610</v>
      </c>
      <c r="L87" s="15" t="s">
        <v>611</v>
      </c>
      <c r="M87" s="4" t="s">
        <v>612</v>
      </c>
      <c r="N87" s="3" t="s">
        <v>28</v>
      </c>
      <c r="O87" s="3" t="s">
        <v>28</v>
      </c>
      <c r="P87" s="4" t="s">
        <v>613</v>
      </c>
      <c r="Q87" s="3" t="s">
        <v>28</v>
      </c>
      <c r="R87" s="3" t="s">
        <v>28</v>
      </c>
      <c r="S87" s="4" t="s">
        <v>614</v>
      </c>
      <c r="T87" s="4" t="s">
        <v>615</v>
      </c>
      <c r="V87" s="22">
        <f t="shared" si="2"/>
        <v>0.6</v>
      </c>
    </row>
    <row r="88" spans="1:22" ht="45" customHeight="1" x14ac:dyDescent="0.2"/>
    <row r="89" spans="1:22" ht="45" customHeight="1" x14ac:dyDescent="0.15">
      <c r="A89" s="31" t="s">
        <v>616</v>
      </c>
      <c r="B89" s="31"/>
      <c r="C89" s="20"/>
      <c r="D89" s="20"/>
      <c r="E89" s="31"/>
      <c r="F89" s="31"/>
      <c r="G89" s="9"/>
      <c r="H89" s="9"/>
      <c r="I89" s="9"/>
      <c r="J89" s="9"/>
      <c r="K89" s="10"/>
      <c r="L89" s="11"/>
      <c r="M89" s="11"/>
      <c r="N89" s="11"/>
      <c r="O89" s="11"/>
      <c r="V89" s="9"/>
    </row>
    <row r="90" spans="1:22" ht="45" customHeight="1" x14ac:dyDescent="0.2">
      <c r="A90" s="92" t="s">
        <v>617</v>
      </c>
      <c r="B90" s="112" t="s">
        <v>618</v>
      </c>
      <c r="C90" s="94" t="s">
        <v>23</v>
      </c>
      <c r="D90" s="95" t="s">
        <v>47</v>
      </c>
      <c r="E90" s="93" t="s">
        <v>25</v>
      </c>
      <c r="F90" s="112" t="s">
        <v>619</v>
      </c>
      <c r="G90" s="12"/>
      <c r="H90" s="32" t="s">
        <v>27</v>
      </c>
      <c r="I90" s="32" t="s">
        <v>27</v>
      </c>
      <c r="J90" s="32" t="s">
        <v>27</v>
      </c>
      <c r="K90" s="4" t="s">
        <v>620</v>
      </c>
      <c r="L90" s="15" t="s">
        <v>621</v>
      </c>
      <c r="M90" s="4" t="s">
        <v>622</v>
      </c>
      <c r="N90" s="4" t="s">
        <v>623</v>
      </c>
      <c r="O90" s="4" t="s">
        <v>624</v>
      </c>
      <c r="P90" s="4" t="s">
        <v>625</v>
      </c>
      <c r="Q90" s="4" t="s">
        <v>626</v>
      </c>
      <c r="R90" s="4" t="s">
        <v>627</v>
      </c>
      <c r="S90" s="4" t="s">
        <v>628</v>
      </c>
      <c r="T90" s="4" t="s">
        <v>629</v>
      </c>
      <c r="V90" s="22">
        <f t="shared" ref="V90:V97" si="3">(10-COUNTIF(K90:T90,"N")-COUNTIF(K90:T90,"N/A"))/(10-COUNTIF(K90:T90,"N/A"))</f>
        <v>1</v>
      </c>
    </row>
    <row r="91" spans="1:22" ht="45" customHeight="1" x14ac:dyDescent="0.2">
      <c r="A91" s="92" t="s">
        <v>630</v>
      </c>
      <c r="B91" s="112" t="s">
        <v>631</v>
      </c>
      <c r="C91" s="94" t="s">
        <v>23</v>
      </c>
      <c r="D91" s="95" t="s">
        <v>47</v>
      </c>
      <c r="E91" s="93" t="s">
        <v>25</v>
      </c>
      <c r="F91" s="112" t="s">
        <v>632</v>
      </c>
      <c r="G91" s="12"/>
      <c r="H91" s="32" t="s">
        <v>27</v>
      </c>
      <c r="I91" s="32" t="s">
        <v>27</v>
      </c>
      <c r="J91" s="32" t="s">
        <v>27</v>
      </c>
      <c r="K91" s="4" t="s">
        <v>633</v>
      </c>
      <c r="L91" s="15" t="s">
        <v>634</v>
      </c>
      <c r="M91" s="4" t="s">
        <v>635</v>
      </c>
      <c r="N91" s="4" t="s">
        <v>636</v>
      </c>
      <c r="O91" s="4" t="s">
        <v>637</v>
      </c>
      <c r="P91" s="4" t="s">
        <v>638</v>
      </c>
      <c r="Q91" s="4" t="s">
        <v>639</v>
      </c>
      <c r="R91" s="4" t="s">
        <v>640</v>
      </c>
      <c r="S91" s="4" t="s">
        <v>641</v>
      </c>
      <c r="T91" s="4" t="s">
        <v>642</v>
      </c>
      <c r="V91" s="22">
        <f t="shared" si="3"/>
        <v>1</v>
      </c>
    </row>
    <row r="92" spans="1:22" ht="54" customHeight="1" x14ac:dyDescent="0.2">
      <c r="A92" s="96" t="s">
        <v>643</v>
      </c>
      <c r="B92" s="113" t="s">
        <v>644</v>
      </c>
      <c r="C92" s="98" t="s">
        <v>60</v>
      </c>
      <c r="D92" s="94" t="s">
        <v>23</v>
      </c>
      <c r="E92" s="97" t="s">
        <v>645</v>
      </c>
      <c r="F92" s="113" t="s">
        <v>646</v>
      </c>
      <c r="G92" s="12" t="s">
        <v>432</v>
      </c>
      <c r="H92" s="32" t="s">
        <v>27</v>
      </c>
      <c r="I92" s="32" t="s">
        <v>27</v>
      </c>
      <c r="J92" s="32" t="s">
        <v>27</v>
      </c>
      <c r="K92" s="4" t="s">
        <v>647</v>
      </c>
      <c r="L92" s="4" t="s">
        <v>648</v>
      </c>
      <c r="M92" s="23" t="s">
        <v>649</v>
      </c>
      <c r="N92" s="3" t="s">
        <v>28</v>
      </c>
      <c r="O92" s="3" t="s">
        <v>28</v>
      </c>
      <c r="P92" s="4" t="s">
        <v>650</v>
      </c>
      <c r="Q92" s="4" t="s">
        <v>651</v>
      </c>
      <c r="R92" s="3" t="s">
        <v>28</v>
      </c>
      <c r="S92" s="4" t="s">
        <v>652</v>
      </c>
      <c r="T92" s="3" t="s">
        <v>28</v>
      </c>
      <c r="V92" s="22">
        <f t="shared" si="3"/>
        <v>0.6</v>
      </c>
    </row>
    <row r="93" spans="1:22" ht="45" customHeight="1" x14ac:dyDescent="0.2">
      <c r="A93" s="96" t="s">
        <v>653</v>
      </c>
      <c r="B93" s="113" t="s">
        <v>654</v>
      </c>
      <c r="C93" s="98" t="s">
        <v>60</v>
      </c>
      <c r="D93" s="94" t="s">
        <v>23</v>
      </c>
      <c r="E93" s="97" t="s">
        <v>655</v>
      </c>
      <c r="F93" s="113" t="s">
        <v>656</v>
      </c>
      <c r="G93" s="12"/>
      <c r="H93" s="32" t="s">
        <v>27</v>
      </c>
      <c r="I93" s="32" t="s">
        <v>27</v>
      </c>
      <c r="J93" s="32" t="s">
        <v>27</v>
      </c>
      <c r="K93" s="4" t="s">
        <v>657</v>
      </c>
      <c r="L93" s="4" t="s">
        <v>658</v>
      </c>
      <c r="M93" s="3" t="s">
        <v>28</v>
      </c>
      <c r="N93" s="3" t="s">
        <v>28</v>
      </c>
      <c r="O93" s="3" t="s">
        <v>28</v>
      </c>
      <c r="P93" s="4" t="s">
        <v>659</v>
      </c>
      <c r="Q93" s="4" t="s">
        <v>660</v>
      </c>
      <c r="R93" s="3" t="s">
        <v>28</v>
      </c>
      <c r="S93" s="4" t="s">
        <v>661</v>
      </c>
      <c r="T93" s="3" t="s">
        <v>28</v>
      </c>
      <c r="V93" s="22">
        <f t="shared" si="3"/>
        <v>0.5</v>
      </c>
    </row>
    <row r="94" spans="1:22" ht="44" customHeight="1" x14ac:dyDescent="0.2">
      <c r="A94" s="24" t="s">
        <v>662</v>
      </c>
      <c r="B94" s="25" t="s">
        <v>663</v>
      </c>
      <c r="C94" s="87" t="s">
        <v>60</v>
      </c>
      <c r="D94" s="94" t="s">
        <v>23</v>
      </c>
      <c r="E94" s="90" t="s">
        <v>655</v>
      </c>
      <c r="F94" s="25" t="s">
        <v>664</v>
      </c>
      <c r="G94" s="12"/>
      <c r="H94" s="32" t="s">
        <v>27</v>
      </c>
      <c r="I94" s="32" t="s">
        <v>27</v>
      </c>
      <c r="J94" s="32" t="s">
        <v>27</v>
      </c>
      <c r="K94" s="16" t="s">
        <v>28</v>
      </c>
      <c r="L94" s="17" t="s">
        <v>665</v>
      </c>
      <c r="M94" s="16" t="s">
        <v>28</v>
      </c>
      <c r="N94" s="16" t="s">
        <v>28</v>
      </c>
      <c r="O94" s="16" t="s">
        <v>28</v>
      </c>
      <c r="P94" s="16" t="s">
        <v>28</v>
      </c>
      <c r="Q94" s="17" t="s">
        <v>666</v>
      </c>
      <c r="R94" s="16" t="s">
        <v>28</v>
      </c>
      <c r="S94" s="16" t="s">
        <v>28</v>
      </c>
      <c r="T94" s="16" t="s">
        <v>28</v>
      </c>
      <c r="V94" s="22">
        <f t="shared" si="3"/>
        <v>0.2</v>
      </c>
    </row>
    <row r="95" spans="1:22" ht="40" customHeight="1" x14ac:dyDescent="0.2">
      <c r="A95" s="96" t="s">
        <v>667</v>
      </c>
      <c r="B95" s="113" t="s">
        <v>668</v>
      </c>
      <c r="C95" s="98" t="s">
        <v>60</v>
      </c>
      <c r="D95" s="94" t="s">
        <v>23</v>
      </c>
      <c r="E95" s="97" t="s">
        <v>25</v>
      </c>
      <c r="F95" s="113" t="s">
        <v>669</v>
      </c>
      <c r="G95" s="12" t="s">
        <v>432</v>
      </c>
      <c r="H95" s="32" t="s">
        <v>27</v>
      </c>
      <c r="I95" s="32" t="s">
        <v>27</v>
      </c>
      <c r="J95" s="32" t="s">
        <v>27</v>
      </c>
      <c r="K95" s="4" t="s">
        <v>670</v>
      </c>
      <c r="L95" s="4" t="s">
        <v>671</v>
      </c>
      <c r="M95" s="23" t="s">
        <v>672</v>
      </c>
      <c r="N95" s="3" t="s">
        <v>28</v>
      </c>
      <c r="O95" s="3" t="s">
        <v>28</v>
      </c>
      <c r="P95" s="4" t="s">
        <v>673</v>
      </c>
      <c r="Q95" s="3" t="s">
        <v>28</v>
      </c>
      <c r="R95" s="3" t="s">
        <v>28</v>
      </c>
      <c r="S95" s="4" t="s">
        <v>674</v>
      </c>
      <c r="T95" s="3" t="s">
        <v>28</v>
      </c>
      <c r="V95" s="22">
        <f t="shared" si="3"/>
        <v>0.5</v>
      </c>
    </row>
    <row r="96" spans="1:22" ht="40" customHeight="1" x14ac:dyDescent="0.2">
      <c r="A96" s="96" t="s">
        <v>675</v>
      </c>
      <c r="B96" s="113" t="s">
        <v>676</v>
      </c>
      <c r="C96" s="98" t="s">
        <v>60</v>
      </c>
      <c r="D96" s="94" t="s">
        <v>23</v>
      </c>
      <c r="E96" s="97" t="s">
        <v>25</v>
      </c>
      <c r="F96" s="113" t="s">
        <v>677</v>
      </c>
      <c r="G96" s="12" t="s">
        <v>432</v>
      </c>
      <c r="H96" s="32" t="s">
        <v>27</v>
      </c>
      <c r="I96" s="32" t="s">
        <v>27</v>
      </c>
      <c r="J96" s="32" t="s">
        <v>27</v>
      </c>
      <c r="K96" s="3" t="s">
        <v>28</v>
      </c>
      <c r="L96" s="3" t="s">
        <v>28</v>
      </c>
      <c r="M96" s="3" t="s">
        <v>28</v>
      </c>
      <c r="N96" s="3" t="s">
        <v>28</v>
      </c>
      <c r="O96" s="3" t="s">
        <v>28</v>
      </c>
      <c r="P96" s="4" t="s">
        <v>678</v>
      </c>
      <c r="Q96" s="3" t="s">
        <v>28</v>
      </c>
      <c r="R96" s="3" t="s">
        <v>28</v>
      </c>
      <c r="S96" s="4" t="s">
        <v>679</v>
      </c>
      <c r="T96" s="3" t="s">
        <v>28</v>
      </c>
      <c r="V96" s="22">
        <f t="shared" si="3"/>
        <v>0.2</v>
      </c>
    </row>
    <row r="97" spans="1:22" ht="83" customHeight="1" x14ac:dyDescent="0.2">
      <c r="A97" s="96" t="s">
        <v>680</v>
      </c>
      <c r="B97" s="113" t="s">
        <v>681</v>
      </c>
      <c r="C97" s="98" t="s">
        <v>60</v>
      </c>
      <c r="D97" s="94" t="s">
        <v>23</v>
      </c>
      <c r="E97" s="97" t="s">
        <v>25</v>
      </c>
      <c r="F97" s="113" t="s">
        <v>682</v>
      </c>
      <c r="G97" s="12" t="s">
        <v>432</v>
      </c>
      <c r="H97" s="32" t="s">
        <v>27</v>
      </c>
      <c r="I97" s="32" t="s">
        <v>27</v>
      </c>
      <c r="J97" s="32" t="s">
        <v>27</v>
      </c>
      <c r="K97" s="4" t="s">
        <v>683</v>
      </c>
      <c r="L97" s="4" t="s">
        <v>684</v>
      </c>
      <c r="M97" s="3" t="s">
        <v>28</v>
      </c>
      <c r="N97" s="4" t="s">
        <v>685</v>
      </c>
      <c r="O97" s="3" t="s">
        <v>28</v>
      </c>
      <c r="P97" s="4" t="s">
        <v>686</v>
      </c>
      <c r="Q97" s="4" t="s">
        <v>687</v>
      </c>
      <c r="R97" s="4" t="s">
        <v>688</v>
      </c>
      <c r="S97" s="4" t="s">
        <v>689</v>
      </c>
      <c r="T97" s="4" t="s">
        <v>690</v>
      </c>
      <c r="V97" s="22">
        <f t="shared" si="3"/>
        <v>0.8</v>
      </c>
    </row>
    <row r="99" spans="1:22" ht="73" customHeight="1" x14ac:dyDescent="0.2">
      <c r="A99" s="13" t="s">
        <v>691</v>
      </c>
      <c r="B99" s="114" t="s">
        <v>692</v>
      </c>
      <c r="C99" s="83" t="s">
        <v>60</v>
      </c>
      <c r="D99" s="83" t="s">
        <v>60</v>
      </c>
      <c r="E99" s="14" t="s">
        <v>25</v>
      </c>
      <c r="F99" s="14"/>
      <c r="G99" s="12"/>
      <c r="H99" s="32" t="s">
        <v>27</v>
      </c>
      <c r="I99" s="32" t="s">
        <v>27</v>
      </c>
      <c r="J99" s="32" t="s">
        <v>27</v>
      </c>
      <c r="K99" s="3" t="s">
        <v>28</v>
      </c>
      <c r="L99" s="3" t="s">
        <v>28</v>
      </c>
      <c r="M99" s="3" t="s">
        <v>28</v>
      </c>
      <c r="N99" s="3" t="s">
        <v>28</v>
      </c>
      <c r="O99" s="3" t="s">
        <v>28</v>
      </c>
      <c r="P99" s="4" t="s">
        <v>693</v>
      </c>
      <c r="Q99" s="3" t="s">
        <v>28</v>
      </c>
      <c r="R99" s="3" t="s">
        <v>28</v>
      </c>
      <c r="S99" s="3" t="s">
        <v>28</v>
      </c>
      <c r="T99" s="4" t="s">
        <v>694</v>
      </c>
      <c r="V99" s="12"/>
    </row>
  </sheetData>
  <conditionalFormatting sqref="A17">
    <cfRule type="colorScale" priority="4">
      <colorScale>
        <cfvo type="min"/>
        <cfvo type="max"/>
        <color rgb="FFFFFFFF"/>
        <color rgb="FF57BB8A"/>
      </colorScale>
    </cfRule>
  </conditionalFormatting>
  <conditionalFormatting sqref="E87">
    <cfRule type="colorScale" priority="2">
      <colorScale>
        <cfvo type="min"/>
        <cfvo type="max"/>
        <color rgb="FFFFFFFF"/>
        <color rgb="FF57BB8A"/>
      </colorScale>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workbookViewId="0">
      <selection activeCell="D20" sqref="D20"/>
    </sheetView>
  </sheetViews>
  <sheetFormatPr baseColWidth="10" defaultRowHeight="15" x14ac:dyDescent="0.2"/>
  <cols>
    <col min="1" max="1" width="17.33203125" customWidth="1"/>
    <col min="2" max="2" width="18" customWidth="1"/>
    <col min="3" max="3" width="16.83203125" customWidth="1"/>
  </cols>
  <sheetData>
    <row r="1" spans="1:4" x14ac:dyDescent="0.2">
      <c r="A1" t="s">
        <v>695</v>
      </c>
      <c r="B1" t="s">
        <v>1</v>
      </c>
      <c r="C1" t="s">
        <v>696</v>
      </c>
      <c r="D1" t="s">
        <v>1</v>
      </c>
    </row>
    <row r="2" spans="1:4" x14ac:dyDescent="0.2">
      <c r="A2" t="s">
        <v>23</v>
      </c>
      <c r="B2" t="s">
        <v>697</v>
      </c>
      <c r="C2" t="s">
        <v>698</v>
      </c>
      <c r="D2" t="s">
        <v>699</v>
      </c>
    </row>
    <row r="3" spans="1:4" x14ac:dyDescent="0.2">
      <c r="A3" t="s">
        <v>60</v>
      </c>
      <c r="B3" t="s">
        <v>700</v>
      </c>
      <c r="C3" t="s">
        <v>47</v>
      </c>
      <c r="D3" t="s">
        <v>701</v>
      </c>
    </row>
    <row r="4" spans="1:4" x14ac:dyDescent="0.2">
      <c r="A4" t="s">
        <v>43</v>
      </c>
      <c r="B4" t="s">
        <v>702</v>
      </c>
      <c r="C4" t="s">
        <v>23</v>
      </c>
      <c r="D4" t="s">
        <v>697</v>
      </c>
    </row>
    <row r="5" spans="1:4" x14ac:dyDescent="0.2">
      <c r="C5" t="s">
        <v>60</v>
      </c>
      <c r="D5" t="s">
        <v>700</v>
      </c>
    </row>
    <row r="6" spans="1:4" x14ac:dyDescent="0.2">
      <c r="C6" t="s">
        <v>43</v>
      </c>
      <c r="D6" t="s">
        <v>703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TAPP</vt:lpstr>
      <vt:lpstr>Legends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Ruolin Deng</cp:lastModifiedBy>
  <cp:revision>0</cp:revision>
  <dcterms:created xsi:type="dcterms:W3CDTF">2026-04-23T16:59:57Z</dcterms:created>
  <dcterms:modified xsi:type="dcterms:W3CDTF">2026-05-05T03:58:56Z</dcterms:modified>
  <dc:language>en-US</dc:language>
</cp:coreProperties>
</file>
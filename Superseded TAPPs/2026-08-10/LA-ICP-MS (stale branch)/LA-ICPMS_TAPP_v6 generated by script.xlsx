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000000"/>
    </font>
    <font>
      <b val="1"/>
      <color rgb="007030A0"/>
    </font>
    <font>
      <b val="1"/>
      <color rgb="00375623"/>
    </font>
    <font>
      <b val="1"/>
      <sz val="12"/>
    </font>
  </fonts>
  <fills count="6">
    <fill>
      <patternFill/>
    </fill>
    <fill>
      <patternFill patternType="gray125"/>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9"/>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0" customWidth="1" min="7" max="7"/>
    <col width="13" customWidth="1" min="8" max="8"/>
    <col width="13" customWidth="1" min="9" max="9"/>
    <col width="13"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Protocol-Level Tier</t>
        </is>
      </c>
      <c r="D1" s="2" t="inlineStr">
        <is>
          <t>Analysis-Level Tier</t>
        </is>
      </c>
      <c r="E1" s="1" t="inlineStr">
        <is>
          <t>Data Type</t>
        </is>
      </c>
      <c r="F1" s="1" t="inlineStr">
        <is>
          <t>Example/Allowed Content</t>
        </is>
      </c>
      <c r="G1" s="1" t="inlineStr">
        <is>
          <t>Last update: 05/04/2026</t>
        </is>
      </c>
      <c r="H1" s="2" t="inlineStr">
        <is>
          <t>Spot</t>
        </is>
      </c>
      <c r="I1" s="2" t="inlineStr">
        <is>
          <t>Transect</t>
        </is>
      </c>
      <c r="J1" s="2" t="inlineStr">
        <is>
          <t>Mapping</t>
        </is>
      </c>
      <c r="K1" s="3" t="inlineStr">
        <is>
          <t>Level of Completeness of Protocol Metadata Items</t>
        </is>
      </c>
      <c r="L1" s="3" t="inlineStr">
        <is>
          <t>Zhang et al. 2022
(GCA 323)
Iron meteorites
Raster mapping + Spot (Ge)
ns-LA-SF-ICP-MS
Florida State University</t>
        </is>
      </c>
      <c r="M1" s="3" t="inlineStr">
        <is>
          <t>Chernonozhkin et al. 2021
(Chem Geol 562)
Pallasite olivine
Raster mapping (2D)
ns-LA-SF-ICP-MS
Ghent University</t>
        </is>
      </c>
      <c r="N1" s="3" t="inlineStr">
        <is>
          <t>Chernonozhkin et al. 2021
(Chem Geol 562)
Pallasite olivine
Line scan (Run 1: major) +
Spot (Run 2: trace)
[Multi-run]
ns-LA-SF-ICP-MS
Ghent University</t>
        </is>
      </c>
      <c r="O1" s="3" t="inlineStr">
        <is>
          <t>Chernonozhkin et al. 2021
(Chem Geol 562)
Pallasite phosphate
Spot analysis
ns-LA-SF-ICP-MS
Ghent University</t>
        </is>
      </c>
      <c r="P1" s="3" t="inlineStr">
        <is>
          <t>Chernonozhkin et al. 2024
(JAAS 39)
Micrometeorites
Raster mapping (2D)
LA-ICP-ToF-MS
Ghent University</t>
        </is>
      </c>
      <c r="Q1" s="3" t="inlineStr">
        <is>
          <t>Masuda et al. 2024
(M&amp;PS 59)
CAI minerals (Allende)
Raster mapping (2D)
msfs-LA-ICP-MS
Tokyo Institute of Technology</t>
        </is>
      </c>
      <c r="R1" s="3" t="inlineStr">
        <is>
          <t>Mittlefehldt 2024
Appendix A
Pallasite olivine
Spot analysis
ns-LA-SF-ICP-MS
Johnson Space Center</t>
        </is>
      </c>
      <c r="S1" s="3" t="inlineStr">
        <is>
          <t>Nakanishi et al. 2022
(GCA 319)
CR chondrite metal (HSE)
Spot analysis
fs-LA-Q-ICP-MS
Tokyo Institute of Technology</t>
        </is>
      </c>
      <c r="T1" s="3" t="inlineStr">
        <is>
          <t>Navarro et al. 2024
(ACS ESC 8)
Iron meteorites
Spot analysis
ns-LA-SF-ICP-MS
University of Campinas</t>
        </is>
      </c>
      <c r="U1" s="3" t="inlineStr">
        <is>
          <t>Navarro et al. 2024
(ACS ESC 8)
Iron meteorites
Raster mapping (2D)
ns-LA-SF-ICP-MS
University of Campinas</t>
        </is>
      </c>
      <c r="V1" s="3" t="inlineStr">
        <is>
          <t>Zhang et al. 2022
(At. Spectrosc. 43)
Lunar meteorite silicates
(Rb-Sr geochronology)
Line scan (transect)
fs-LA-MC-ICP-MS
China Univ. of Geosciences</t>
        </is>
      </c>
      <c r="W1" s="3" t="inlineStr">
        <is>
          <t>Liu et al. 2024
(JAAS 39)
Extraterrestrial samples
(Li-borate flux glass)
Spot analysis
fs-LA-Q-ICP-MS
Chinese Academy of Sciences</t>
        </is>
      </c>
      <c r="X1" s="3" t="inlineStr">
        <is>
          <t>Liu et al. 2025
(GCA 393)
Experimental silicate glass
Spot analysis
ns-LA-Q-ICP-MS
Guangzhou Inst. Geochemistry</t>
        </is>
      </c>
      <c r="Y1" s="3" t="inlineStr">
        <is>
          <t>Liu et al. 2025
(GCA 393)
Experimental sulfide
Spot analysis
ns-LA-Q-ICP-MS
Guangzhou Inst. Geochemistry</t>
        </is>
      </c>
    </row>
    <row r="2">
      <c r="A2" s="4" t="inlineStr">
        <is>
          <t>1. Protocol Identification</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row>
    <row r="3">
      <c r="A3" s="1" t="inlineStr">
        <is>
          <t>Protocol Name</t>
        </is>
      </c>
      <c r="B3" s="1" t="inlineStr">
        <is>
          <t>A short descriptive name for this analytical protocol, with version number. Should include instrument, technique, target analyte group, and measured chemical variable.</t>
        </is>
      </c>
      <c r="C3" s="5" t="inlineStr">
        <is>
          <t>Basic</t>
        </is>
      </c>
      <c r="D3" s="6" t="inlineStr">
        <is>
          <t>Read-Only</t>
        </is>
      </c>
      <c r="E3" s="1" t="inlineStr">
        <is>
          <t>Text (free)</t>
        </is>
      </c>
      <c r="F3" s="1" t="inlineStr">
        <is>
          <t>e.g., 'LA-ICP-MS Trace Elements Silicate Glass v1.2' | 'fs-LA-ICP-MS Major and Trace Elements Sulfide v1'</t>
        </is>
      </c>
      <c r="G3" s="1" t="n"/>
      <c r="H3" s="7" t="inlineStr">
        <is>
          <t>Y</t>
        </is>
      </c>
      <c r="I3" s="7" t="inlineStr">
        <is>
          <t>Y</t>
        </is>
      </c>
      <c r="J3" s="7" t="inlineStr">
        <is>
          <t>Y</t>
        </is>
      </c>
      <c r="K3" s="1">
        <f>(14-COUNTIF(L3:Y3,"N"))/(14)</f>
        <v/>
      </c>
      <c r="L3" s="1" t="inlineStr">
        <is>
          <t>Zhang et al. (2022) Iron Meteorite LA-ICP-MS v1</t>
        </is>
      </c>
      <c r="M3" s="1" t="inlineStr">
        <is>
          <t>Chernonozhkin et al. (2021) Pallasite Olivine 2D Mapping v1</t>
        </is>
      </c>
      <c r="N3" s="1" t="inlineStr">
        <is>
          <t>Chernonozhkin et al. (2021) Pallasite Olivine Multi-run Spot/Transect v1</t>
        </is>
      </c>
      <c r="O3" s="1" t="inlineStr">
        <is>
          <t>Chernonozhkin et al. (2021) Pallasite Phosphate Spot v1</t>
        </is>
      </c>
      <c r="P3" s="1" t="inlineStr">
        <is>
          <t>Chernonozhkin et al. (2024) Micrometeorite LA-ICP-ToF-MS Mapping v1</t>
        </is>
      </c>
      <c r="Q3" s="1" t="inlineStr">
        <is>
          <t>Masuda et al. (2024) CAI Mineral msfsLA-ICP-MS Mapping v1</t>
        </is>
      </c>
      <c r="R3" s="1" t="inlineStr">
        <is>
          <t>Mittlefehldt (2024) Pallasite Olivine Spot v1</t>
        </is>
      </c>
      <c r="S3" s="1" t="inlineStr">
        <is>
          <t>Nakanishi et al. (2022) CR Chondrite Metal HSE fs-LA-ICP-MS Spot v1</t>
        </is>
      </c>
      <c r="T3" s="1" t="inlineStr">
        <is>
          <t>Navarro et al. (2024) Iron Meteorite Spot v1</t>
        </is>
      </c>
      <c r="U3" s="1" t="inlineStr">
        <is>
          <t>Navarro et al. (2024) Iron Meteorite Raster Mapping v1</t>
        </is>
      </c>
      <c r="V3" s="1" t="inlineStr">
        <is>
          <t>Zhang et al. (2022) Lunar Meteorite Rb-Sr Transect fs-LA-MC-ICP-MS v1</t>
        </is>
      </c>
      <c r="W3" s="1" t="inlineStr">
        <is>
          <t>Liu et al. (2024) Extraterrestrial Flux Glass fs-LA-ICP-MS Spot v1</t>
        </is>
      </c>
      <c r="X3" s="1" t="inlineStr">
        <is>
          <t>Liu et al. (2025) Experimental Silicate Glass LA-ICP-MS Spot v1</t>
        </is>
      </c>
      <c r="Y3" s="1" t="inlineStr">
        <is>
          <t>Liu et al. (2025) Experimental Sulfide LA-ICP-MS Spot v1</t>
        </is>
      </c>
    </row>
    <row r="4">
      <c r="A4" s="1" t="inlineStr">
        <is>
          <t>Technique</t>
        </is>
      </c>
      <c r="B4" s="1" t="inlineStr">
        <is>
          <t>Top-level analytical technique identifier.</t>
        </is>
      </c>
      <c r="C4" s="5" t="inlineStr">
        <is>
          <t>Basic</t>
        </is>
      </c>
      <c r="D4" s="6" t="inlineStr">
        <is>
          <t>Read-Only</t>
        </is>
      </c>
      <c r="E4" s="1" t="inlineStr">
        <is>
          <t>Controlled list</t>
        </is>
      </c>
      <c r="F4" s="1" t="inlineStr">
        <is>
          <t>LA-ICP-MS | LA-ICP-OES | LA-MC-ICP-MS | LA-ICP-ToF-MS | LA-ICP-MS/MS | Others: specify</t>
        </is>
      </c>
      <c r="G4" s="1" t="n"/>
      <c r="H4" s="7" t="inlineStr">
        <is>
          <t>Y</t>
        </is>
      </c>
      <c r="I4" s="7" t="inlineStr">
        <is>
          <t>Y</t>
        </is>
      </c>
      <c r="J4" s="7" t="inlineStr">
        <is>
          <t>Y</t>
        </is>
      </c>
      <c r="K4" s="1">
        <f>(14-COUNTIF(L4:Y4,"N"))/(14)</f>
        <v/>
      </c>
      <c r="L4" s="1" t="inlineStr">
        <is>
          <t>LA-SF-ICP-MS</t>
        </is>
      </c>
      <c r="M4" s="1" t="inlineStr">
        <is>
          <t>LA-SF-ICP-MS</t>
        </is>
      </c>
      <c r="N4" s="1" t="inlineStr">
        <is>
          <t>LA-SF-ICP-MS</t>
        </is>
      </c>
      <c r="O4" s="1" t="inlineStr">
        <is>
          <t>LA-SF-ICP-MS</t>
        </is>
      </c>
      <c r="P4" s="1" t="inlineStr">
        <is>
          <t>LA-ICP-ToF-MS</t>
        </is>
      </c>
      <c r="Q4" s="1" t="inlineStr">
        <is>
          <t>fs-LA-Q-ICP-MS (msfsLA)</t>
        </is>
      </c>
      <c r="R4" s="1" t="inlineStr">
        <is>
          <t>LA-SF-ICP-MS</t>
        </is>
      </c>
      <c r="S4" s="1" t="inlineStr">
        <is>
          <t>fs-LA-Q-ICP-MS</t>
        </is>
      </c>
      <c r="T4" s="1" t="inlineStr">
        <is>
          <t>LA-SF-ICP-MS</t>
        </is>
      </c>
      <c r="U4" s="1" t="inlineStr">
        <is>
          <t>LA-SF-ICP-MS</t>
        </is>
      </c>
      <c r="V4" s="1" t="inlineStr">
        <is>
          <t>fs-LA-MC-ICP-MS</t>
        </is>
      </c>
      <c r="W4" s="1" t="inlineStr">
        <is>
          <t>fs-LA-Q-ICP-MS</t>
        </is>
      </c>
      <c r="X4" s="1" t="inlineStr">
        <is>
          <t>LA-Q-ICP-MS</t>
        </is>
      </c>
      <c r="Y4" s="1" t="inlineStr">
        <is>
          <t>LA-Q-ICP-MS</t>
        </is>
      </c>
    </row>
    <row r="5">
      <c r="A5" s="1" t="inlineStr">
        <is>
          <t>Protocol Author</t>
        </is>
      </c>
      <c r="B5" s="1" t="inlineStr">
        <is>
          <t>Author(s) of the protocol. Can be individual names or lab names. ORCID is recommended for individuals.</t>
        </is>
      </c>
      <c r="C5" s="5" t="inlineStr">
        <is>
          <t>Basic</t>
        </is>
      </c>
      <c r="D5" s="6" t="inlineStr">
        <is>
          <t>Read-Only</t>
        </is>
      </c>
      <c r="E5" s="1" t="inlineStr">
        <is>
          <t>Text (free)</t>
        </is>
      </c>
      <c r="F5" s="1" t="inlineStr">
        <is>
          <t>e.g., 'J. Smith (ORCID: 0000-0001-2345-6789)' | 'Isotope Geochemistry Lab, University of X'</t>
        </is>
      </c>
      <c r="G5" s="1" t="n"/>
      <c r="H5" s="7" t="inlineStr">
        <is>
          <t>Y</t>
        </is>
      </c>
      <c r="I5" s="7" t="inlineStr">
        <is>
          <t>Y</t>
        </is>
      </c>
      <c r="J5" s="7" t="inlineStr">
        <is>
          <t>Y</t>
        </is>
      </c>
      <c r="K5" s="1">
        <f>(14-COUNTIF(L5:Y5,"N"))/(14)</f>
        <v/>
      </c>
      <c r="L5" s="1" t="inlineStr">
        <is>
          <t>Zhang, Chabot, Rubin, Humayun et al.</t>
        </is>
      </c>
      <c r="M5" s="1" t="inlineStr">
        <is>
          <t>Chernonozhkin, Pittarello, Goderis, Vanhaecke et al.</t>
        </is>
      </c>
      <c r="N5" s="1" t="inlineStr">
        <is>
          <t>Chernonozhkin, Pittarello, Goderis, Vanhaecke et al.</t>
        </is>
      </c>
      <c r="O5" s="1" t="inlineStr">
        <is>
          <t>Chernonozhkin, Pittarello, Goderis, Vanhaecke et al.</t>
        </is>
      </c>
      <c r="P5" s="1" t="inlineStr">
        <is>
          <t>Chernonozhkin, Van Acker, Van Malderen et al.</t>
        </is>
      </c>
      <c r="Q5" s="1" t="inlineStr">
        <is>
          <t>Masuda, Niki, Hirata, Yokoyama</t>
        </is>
      </c>
      <c r="R5" s="1" t="inlineStr">
        <is>
          <t>Mittlefehldt</t>
        </is>
      </c>
      <c r="S5" s="1" t="inlineStr">
        <is>
          <t>Nakanishi, Yokoyama, Okabayashi, Iwamori, Hirata</t>
        </is>
      </c>
      <c r="T5" s="1" t="inlineStr">
        <is>
          <t>Navarro, Enzweiler, Crósta et al.</t>
        </is>
      </c>
      <c r="U5" s="1" t="inlineStr">
        <is>
          <t>Navarro, Enzweiler, Crósta et al.</t>
        </is>
      </c>
      <c r="V5" s="1" t="inlineStr">
        <is>
          <t>Zhang et al. (China Univ. of Geosciences Wuhan)</t>
        </is>
      </c>
      <c r="W5" s="1" t="inlineStr">
        <is>
          <t>Liu, Xue, Li, Wang et al.</t>
        </is>
      </c>
      <c r="X5" s="1" t="inlineStr">
        <is>
          <t>Liu, Li, Xu, Xiong et al.</t>
        </is>
      </c>
      <c r="Y5" s="1" t="inlineStr">
        <is>
          <t>Liu, Li, Xu, Xiong et al.</t>
        </is>
      </c>
    </row>
    <row r="6">
      <c r="A6" s="1" t="inlineStr">
        <is>
          <t>Analyst</t>
        </is>
      </c>
      <c r="B6" s="1" t="inlineStr">
        <is>
          <t>Name(s) of the analyst(s) who performed the actual analysis. ORCID is recommended for persistent identification.</t>
        </is>
      </c>
      <c r="C6" s="8" t="inlineStr">
        <is>
          <t>N/A</t>
        </is>
      </c>
      <c r="D6" s="5" t="inlineStr">
        <is>
          <t>Basic</t>
        </is>
      </c>
      <c r="E6" s="1" t="inlineStr">
        <is>
          <t>Text (free)</t>
        </is>
      </c>
      <c r="F6" s="1" t="inlineStr">
        <is>
          <t>e.g., 'J. Smith (ORCID: 0000-0001-2345-6789)'</t>
        </is>
      </c>
      <c r="G6" s="1" t="n"/>
      <c r="H6" s="7" t="inlineStr">
        <is>
          <t>Y</t>
        </is>
      </c>
      <c r="I6" s="7" t="inlineStr">
        <is>
          <t>Y</t>
        </is>
      </c>
      <c r="J6" s="7" t="inlineStr">
        <is>
          <t>Y</t>
        </is>
      </c>
      <c r="K6" s="1" t="n"/>
      <c r="L6" s="1" t="inlineStr">
        <is>
          <t>N</t>
        </is>
      </c>
      <c r="M6" s="1" t="inlineStr">
        <is>
          <t>N</t>
        </is>
      </c>
      <c r="N6" s="1" t="inlineStr">
        <is>
          <t>N</t>
        </is>
      </c>
      <c r="O6" s="1" t="inlineStr">
        <is>
          <t>N</t>
        </is>
      </c>
      <c r="P6" s="1" t="inlineStr">
        <is>
          <t>N</t>
        </is>
      </c>
      <c r="Q6" s="1" t="inlineStr">
        <is>
          <t>N</t>
        </is>
      </c>
      <c r="R6" s="1" t="inlineStr">
        <is>
          <t>N</t>
        </is>
      </c>
      <c r="S6" s="1" t="inlineStr">
        <is>
          <t>N</t>
        </is>
      </c>
      <c r="T6" s="1" t="inlineStr">
        <is>
          <t>N</t>
        </is>
      </c>
      <c r="U6" s="1" t="inlineStr">
        <is>
          <t>N</t>
        </is>
      </c>
      <c r="V6" s="1" t="inlineStr">
        <is>
          <t>N</t>
        </is>
      </c>
      <c r="W6" s="1" t="inlineStr">
        <is>
          <t>N</t>
        </is>
      </c>
      <c r="X6" s="1" t="inlineStr">
        <is>
          <t>N</t>
        </is>
      </c>
      <c r="Y6" s="1" t="inlineStr">
        <is>
          <t>N</t>
        </is>
      </c>
    </row>
    <row r="7">
      <c r="A7" s="1" t="inlineStr">
        <is>
          <t>Laboratory</t>
        </is>
      </c>
      <c r="B7" s="1" t="inlineStr">
        <is>
          <t>Name of the laboratory or institution hosting the instrument.</t>
        </is>
      </c>
      <c r="C7" s="5" t="inlineStr">
        <is>
          <t>Basic</t>
        </is>
      </c>
      <c r="D7" s="9" t="inlineStr">
        <is>
          <t>Editable</t>
        </is>
      </c>
      <c r="E7" s="1" t="inlineStr">
        <is>
          <t>Text (free)</t>
        </is>
      </c>
      <c r="F7" s="1" t="inlineStr">
        <is>
          <t>e.g., 'Geo-/Cosmochemistry Lab, University of Cologne'</t>
        </is>
      </c>
      <c r="G7" s="1" t="n"/>
      <c r="H7" s="7" t="inlineStr">
        <is>
          <t>Y</t>
        </is>
      </c>
      <c r="I7" s="7" t="inlineStr">
        <is>
          <t>Y</t>
        </is>
      </c>
      <c r="J7" s="7" t="inlineStr">
        <is>
          <t>Y</t>
        </is>
      </c>
      <c r="K7" s="1">
        <f>(14-COUNTIF(L7:Y7,"N"))/(14)</f>
        <v/>
      </c>
      <c r="L7" s="1" t="inlineStr">
        <is>
          <t>Plasma Analytical Facility, Florida State University, Tallahassee FL, USA</t>
        </is>
      </c>
      <c r="M7" s="1" t="inlineStr">
        <is>
          <t>Dept. of Chemistry, Atomic &amp; Mass Spectrometry, Ghent University, Belgium</t>
        </is>
      </c>
      <c r="N7" s="1" t="inlineStr">
        <is>
          <t>Dept. of Chemistry, Atomic &amp; Mass Spectrometry, Ghent University, Belgium</t>
        </is>
      </c>
      <c r="O7" s="1" t="inlineStr">
        <is>
          <t>Dept. of Chemistry, Atomic &amp; Mass Spectrometry, Ghent University, Belgium</t>
        </is>
      </c>
      <c r="P7" s="1" t="inlineStr">
        <is>
          <t>Dept. of Chemistry, Atomic &amp; Mass Spectrometry, Ghent University, Belgium</t>
        </is>
      </c>
      <c r="Q7" s="1" t="inlineStr">
        <is>
          <t>Geochemical Research Center, Univ. of Tokyo / Tokyo Inst. of Technology, Japan</t>
        </is>
      </c>
      <c r="R7" s="1" t="inlineStr">
        <is>
          <t>ICP-MS Laboratory, NASA Johnson Space Center, Houston TX, USA</t>
        </is>
      </c>
      <c r="S7" s="1" t="inlineStr">
        <is>
          <t>Dept. of Earth and Planetary Sciences, Tokyo Institute of Technology, Japan</t>
        </is>
      </c>
      <c r="T7" s="1" t="inlineStr">
        <is>
          <t>Isotope Geology Laboratory, University of Campinas (UNICAMP), Brazil</t>
        </is>
      </c>
      <c r="U7" s="1" t="inlineStr">
        <is>
          <t>Isotope Geology Laboratory, University of Campinas (UNICAMP), Brazil</t>
        </is>
      </c>
      <c r="V7" s="1" t="inlineStr">
        <is>
          <t>State Key Laboratory of Geological Processes and Mineral Resources, China Univ. Geosciences, Wuhan, China</t>
        </is>
      </c>
      <c r="W7" s="1" t="inlineStr">
        <is>
          <t>State Key Laboratory of Lithospheric Evolution and Environmental Coevolution, IGGCAS, Beijing, China</t>
        </is>
      </c>
      <c r="X7" s="1" t="inlineStr">
        <is>
          <t>State Key Laboratory of Isotope Geochemistry, Guangzhou Institute of Geochemistry, CAS, China</t>
        </is>
      </c>
      <c r="Y7" s="1" t="inlineStr">
        <is>
          <t>State Key Laboratory of Isotope Geochemistry, Guangzhou Institute of Geochemistry, CAS, China</t>
        </is>
      </c>
    </row>
    <row r="8">
      <c r="A8" s="1" t="inlineStr">
        <is>
          <t>Laboratory ID</t>
        </is>
      </c>
      <c r="B8" s="1" t="inlineStr">
        <is>
          <t>Persistent identifier for the laboratory, e.g., ROR ID.</t>
        </is>
      </c>
      <c r="C8" s="10" t="inlineStr">
        <is>
          <t>Advanced</t>
        </is>
      </c>
      <c r="D8" s="9" t="inlineStr">
        <is>
          <t>Editable</t>
        </is>
      </c>
      <c r="E8" s="1" t="inlineStr">
        <is>
          <t>URI</t>
        </is>
      </c>
      <c r="F8" s="1" t="inlineStr">
        <is>
          <t>ROR ID or equivalent URI (https://ror.org/)</t>
        </is>
      </c>
      <c r="G8" s="1" t="n"/>
      <c r="H8" s="7" t="inlineStr">
        <is>
          <t>Y</t>
        </is>
      </c>
      <c r="I8" s="7" t="inlineStr">
        <is>
          <t>Y</t>
        </is>
      </c>
      <c r="J8" s="7" t="inlineStr">
        <is>
          <t>Y</t>
        </is>
      </c>
      <c r="K8" s="1">
        <f>(14-COUNTIF(L8:Y8,"N"))/(14)</f>
        <v/>
      </c>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Protocol Start Date</t>
        </is>
      </c>
      <c r="B9" s="1" t="inlineStr">
        <is>
          <t>First date this protocol configuration was used in production.</t>
        </is>
      </c>
      <c r="C9" s="5" t="inlineStr">
        <is>
          <t>Basic</t>
        </is>
      </c>
      <c r="D9" s="6" t="inlineStr">
        <is>
          <t>Read-Only</t>
        </is>
      </c>
      <c r="E9" s="1" t="inlineStr">
        <is>
          <t>Date</t>
        </is>
      </c>
      <c r="F9" s="1" t="inlineStr">
        <is>
          <t>YYYY-MM-DD, e.g., 2022-04-22</t>
        </is>
      </c>
      <c r="G9" s="1" t="n"/>
      <c r="H9" s="7" t="inlineStr">
        <is>
          <t>Y</t>
        </is>
      </c>
      <c r="I9" s="7" t="inlineStr">
        <is>
          <t>Y</t>
        </is>
      </c>
      <c r="J9" s="7" t="inlineStr">
        <is>
          <t>Y</t>
        </is>
      </c>
      <c r="K9" s="1">
        <f>(14-COUNTIF(L9:Y9,"N"))/(14)</f>
        <v/>
      </c>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Analysis Start Date</t>
        </is>
      </c>
      <c r="B10" s="1" t="inlineStr">
        <is>
          <t>Date on which the analytical session began. For analyses spanning multiple days, use the date of the first session. Format: YYYY-MM-DD.</t>
        </is>
      </c>
      <c r="C10" s="8" t="inlineStr">
        <is>
          <t>N/A</t>
        </is>
      </c>
      <c r="D10" s="5" t="inlineStr">
        <is>
          <t>Basic</t>
        </is>
      </c>
      <c r="E10" s="1" t="inlineStr">
        <is>
          <t>Date</t>
        </is>
      </c>
      <c r="F10" s="1" t="inlineStr">
        <is>
          <t>YYYY-MM-DD, e.g., 2022-04-22</t>
        </is>
      </c>
      <c r="G10" s="1" t="n"/>
      <c r="H10" s="7" t="inlineStr">
        <is>
          <t>Y</t>
        </is>
      </c>
      <c r="I10" s="7" t="inlineStr">
        <is>
          <t>Y</t>
        </is>
      </c>
      <c r="J10" s="7" t="inlineStr">
        <is>
          <t>Y</t>
        </is>
      </c>
      <c r="K10" s="1"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Analysis End Date</t>
        </is>
      </c>
      <c r="B11" s="1" t="inlineStr">
        <is>
          <t>Date on which the analytical session ended. May equal Analysis Start Date for single-day sessions. Format: YYYY-MM-DD.</t>
        </is>
      </c>
      <c r="C11" s="8" t="inlineStr">
        <is>
          <t>N/A</t>
        </is>
      </c>
      <c r="D11" s="5" t="inlineStr">
        <is>
          <t>Basic</t>
        </is>
      </c>
      <c r="E11" s="1" t="inlineStr">
        <is>
          <t>Date</t>
        </is>
      </c>
      <c r="F11" s="1" t="inlineStr">
        <is>
          <t>YYYY-MM-DD, e.g., 2022-04-22</t>
        </is>
      </c>
      <c r="G11" s="1" t="n"/>
      <c r="H11" s="7" t="inlineStr">
        <is>
          <t>Y</t>
        </is>
      </c>
      <c r="I11" s="7" t="inlineStr">
        <is>
          <t>Y</t>
        </is>
      </c>
      <c r="J11" s="7" t="inlineStr">
        <is>
          <t>Y</t>
        </is>
      </c>
      <c r="K11" s="1"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Protocol DOI</t>
        </is>
      </c>
      <c r="B12" s="1" t="inlineStr">
        <is>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is>
      </c>
      <c r="C12" s="8" t="inlineStr">
        <is>
          <t>N/A</t>
        </is>
      </c>
      <c r="D12" s="5" t="inlineStr">
        <is>
          <t>Basic</t>
        </is>
      </c>
      <c r="E12" s="1" t="inlineStr">
        <is>
          <t>URI / DOI</t>
        </is>
      </c>
      <c r="F12" s="1" t="inlineStr">
        <is>
          <t>e.g., http://doi.org/10.60520/IEDA/114187 | pending</t>
        </is>
      </c>
      <c r="G12" s="1" t="n"/>
      <c r="H12" s="7" t="inlineStr">
        <is>
          <t>Y</t>
        </is>
      </c>
      <c r="I12" s="7" t="inlineStr">
        <is>
          <t>Y</t>
        </is>
      </c>
      <c r="J12" s="7" t="inlineStr">
        <is>
          <t>Y</t>
        </is>
      </c>
      <c r="K12" s="1"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Funding Source for Protocol Development</t>
        </is>
      </c>
      <c r="B13" s="1" t="inlineStr">
        <is>
          <t>Grants and other funding sources that supported instrument purchase, major upgrades, protocol development, and associated personnel time. Include grant numbers and funding agencies where applicable.</t>
        </is>
      </c>
      <c r="C13" s="5" t="inlineStr">
        <is>
          <t>Basic</t>
        </is>
      </c>
      <c r="D13" s="8" t="inlineStr">
        <is>
          <t>N/A</t>
        </is>
      </c>
      <c r="E13" s="1" t="inlineStr">
        <is>
          <t>Text (free)</t>
        </is>
      </c>
      <c r="F13" s="1" t="inlineStr">
        <is>
          <t>e.g., 'NSF EAR-2142500; DFG INST 216/1019-1 FUGG no. 665508' | 'None'</t>
        </is>
      </c>
      <c r="G13" s="1" t="n"/>
      <c r="H13" s="7" t="inlineStr">
        <is>
          <t>Y</t>
        </is>
      </c>
      <c r="I13" s="7" t="inlineStr">
        <is>
          <t>Y</t>
        </is>
      </c>
      <c r="J13" s="7" t="inlineStr">
        <is>
          <t>Y</t>
        </is>
      </c>
      <c r="K13" s="1">
        <f>(14-COUNTIF(L13:Y13,"N"))/(14)</f>
        <v/>
      </c>
      <c r="L13" s="1" t="inlineStr">
        <is>
          <t>N</t>
        </is>
      </c>
      <c r="M13" s="1" t="inlineStr">
        <is>
          <t>FWO (Flemish Research Foundation) project G0C4914N; NASA/Smithsonian grants</t>
        </is>
      </c>
      <c r="N13" s="1" t="inlineStr">
        <is>
          <t>FWO project G0C4914N</t>
        </is>
      </c>
      <c r="O13" s="1" t="inlineStr">
        <is>
          <t>FWO project G0C4914N</t>
        </is>
      </c>
      <c r="P13" s="1" t="inlineStr">
        <is>
          <t>FWO "Excellence of Science" project ET-HoME-ID30442502; Montanuniversität Leoben</t>
        </is>
      </c>
      <c r="Q13" s="1" t="inlineStr">
        <is>
          <t>Japan Society for the Promotion of Science (JSPS)</t>
        </is>
      </c>
      <c r="R13" s="1" t="inlineStr">
        <is>
          <t>N</t>
        </is>
      </c>
      <c r="S13" s="1" t="inlineStr">
        <is>
          <t>JSPS KAKENHI; Tokyo Institute of Technology</t>
        </is>
      </c>
      <c r="T13" s="1" t="inlineStr">
        <is>
          <t>FAPESP (São Paulo Research Foundation); CNPq</t>
        </is>
      </c>
      <c r="U13" s="1" t="inlineStr">
        <is>
          <t>FAPESP; CNPq</t>
        </is>
      </c>
      <c r="V13" s="1" t="inlineStr">
        <is>
          <t>National Natural Science Foundation of China (NSFC)</t>
        </is>
      </c>
      <c r="W13" s="1" t="inlineStr">
        <is>
          <t>NSFC; Chinese Academy of Sciences</t>
        </is>
      </c>
      <c r="X13" s="1" t="inlineStr">
        <is>
          <t>Strategic Priority Research Program (B) CAS; NSFC 92062222, 42073057</t>
        </is>
      </c>
      <c r="Y13" s="1" t="inlineStr">
        <is>
          <t>Strategic Priority Research Program (B) CAS; NSFC 92062222, 42073057</t>
        </is>
      </c>
    </row>
    <row r="14">
      <c r="A14" s="1" t="inlineStr">
        <is>
          <t>Funding Source for Analysis</t>
        </is>
      </c>
      <c r="B14" s="1" t="inlineStr">
        <is>
          <t>Grants and other funding sources that supported the specific sample analyses and data collection reported here. Include grant numbers and funding agencies. Distinct from protocol development funding, which may have been awarded years earlier.</t>
        </is>
      </c>
      <c r="C14" s="8" t="inlineStr">
        <is>
          <t>N/A</t>
        </is>
      </c>
      <c r="D14" s="5" t="inlineStr">
        <is>
          <t>Basic</t>
        </is>
      </c>
      <c r="E14" s="1" t="inlineStr">
        <is>
          <t>Text (free)</t>
        </is>
      </c>
      <c r="F14" s="1" t="inlineStr">
        <is>
          <t>e.g., 'NASA 80NSSC21K0153; DFG WE 2850/5-1' | 'None'</t>
        </is>
      </c>
      <c r="G14" s="1" t="n"/>
      <c r="H14" s="7" t="inlineStr">
        <is>
          <t>Y</t>
        </is>
      </c>
      <c r="I14" s="7" t="inlineStr">
        <is>
          <t>Y</t>
        </is>
      </c>
      <c r="J14" s="7" t="inlineStr">
        <is>
          <t>Y</t>
        </is>
      </c>
      <c r="K14" s="1"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Protocol Reference(s)</t>
        </is>
      </c>
      <c r="B15" s="1" t="inlineStr">
        <is>
          <t>DOI or URL for peer-reviewed publications or technical reports describing, validating, or benchmarking this protocol.</t>
        </is>
      </c>
      <c r="C15" s="10" t="inlineStr">
        <is>
          <t>Advanced</t>
        </is>
      </c>
      <c r="D15" s="6" t="inlineStr">
        <is>
          <t>Read-Only</t>
        </is>
      </c>
      <c r="E15" s="1" t="inlineStr">
        <is>
          <t>URI / DOI</t>
        </is>
      </c>
      <c r="F15" s="1" t="inlineStr">
        <is>
          <t>e.g., doi:10.1016/j.oregeorev.2011.11.001</t>
        </is>
      </c>
      <c r="G15" s="1" t="n"/>
      <c r="H15" s="7" t="inlineStr">
        <is>
          <t>Y</t>
        </is>
      </c>
      <c r="I15" s="7" t="inlineStr">
        <is>
          <t>Y</t>
        </is>
      </c>
      <c r="J15" s="7" t="inlineStr">
        <is>
          <t>Y</t>
        </is>
      </c>
      <c r="K15" s="1">
        <f>(14-COUNTIF(L15:Y15,"N"))/(14)</f>
        <v/>
      </c>
      <c r="L15" s="1" t="inlineStr">
        <is>
          <t>Zhang et al. (2022) GCA 323, 202–219; Humayun (2012) for standardization</t>
        </is>
      </c>
      <c r="M15" s="1" t="inlineStr">
        <is>
          <t>Chernonozhkin et al. (2021) Chem. Geol. 562; Liu et al. (2008) for IS method</t>
        </is>
      </c>
      <c r="N15" s="1" t="inlineStr">
        <is>
          <t>Chernonozhkin et al. (2021) Chem. Geol. 562; Liu et al. (2008) for IS method</t>
        </is>
      </c>
      <c r="O15" s="1" t="inlineStr">
        <is>
          <t>Chernonozhkin et al. (2021) Chem. Geol. 562; Liu et al. (2008) for IS method</t>
        </is>
      </c>
      <c r="P15" s="1" t="inlineStr">
        <is>
          <t>Chernonozhkin et al. (2024) JAAS 39, 1050; Van Malderen et al. (2020)</t>
        </is>
      </c>
      <c r="Q15" s="1" t="inlineStr">
        <is>
          <t>Masuda et al. (2024) M&amp;PS 59, 2260; iQuant 2+ software (Suzuki et al. 2018)</t>
        </is>
      </c>
      <c r="R15" s="1" t="inlineStr">
        <is>
          <t>Mittlefehldt (2024) GCA; Lee (Rice University) Excel data reduction spreadsheet</t>
        </is>
      </c>
      <c r="S15" s="1" t="inlineStr">
        <is>
          <t>Nakanishi et al. (2022) GCA 319, 254; Walker et al. (2008) for IVB standards</t>
        </is>
      </c>
      <c r="T15" s="1" t="inlineStr">
        <is>
          <t>Navarro et al. (2024) ACS Earth Space Chem. 8, 281; Longerich et al. (1996)</t>
        </is>
      </c>
      <c r="U15" s="1" t="inlineStr">
        <is>
          <t>Navarro et al. (2024) ACS Earth Space Chem. 8, 281; Longerich et al. (1996)</t>
        </is>
      </c>
      <c r="V15" s="1" t="inlineStr">
        <is>
          <t>Zhang et al. (2022) At. Spectrosc. 43; ISO-Compass software; Zhang et al. (2018)</t>
        </is>
      </c>
      <c r="W15" s="1" t="inlineStr">
        <is>
          <t>Liu et al. (2024) JAAS 39, 2728; Pettke et al. (2012) for LOD</t>
        </is>
      </c>
      <c r="X15" s="1" t="inlineStr">
        <is>
          <t>Liu et al. (2025) GCA 393, 170; Xu et al. (2022) for experimental protocol</t>
        </is>
      </c>
      <c r="Y15" s="1" t="inlineStr">
        <is>
          <t>Liu et al. (2025) GCA 393, 170; Xu et al. (2022)</t>
        </is>
      </c>
    </row>
    <row r="16" ht="8" customHeight="1"/>
    <row r="17">
      <c r="A17" s="4" t="inlineStr">
        <is>
          <t>2. Samples</t>
        </is>
      </c>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1" t="inlineStr">
        <is>
          <t>Target Material</t>
        </is>
      </c>
      <c r="B18" s="1" t="inlineStr">
        <is>
          <t>General description of the material type(s) this protocol is designed to analyse. Used for discoverability and protocol matching.</t>
        </is>
      </c>
      <c r="C18" s="5" t="inlineStr">
        <is>
          <t>Basic</t>
        </is>
      </c>
      <c r="D18" s="6" t="inlineStr">
        <is>
          <t>Read-Only</t>
        </is>
      </c>
      <c r="E18" s="1" t="inlineStr">
        <is>
          <t>Controlled list / Text</t>
        </is>
      </c>
      <c r="F18" s="1" t="inlineStr">
        <is>
          <t>Silicate glass | Feldspar | Pyroxene | Olivine | Oxide | Sulfide | Carbonate | Phosphate | Native metal | Iron meteorite | Fluid inclusion | Melt inclusion | Whole rock | Other: specify</t>
        </is>
      </c>
      <c r="G18" s="1" t="n"/>
      <c r="H18" s="7" t="inlineStr">
        <is>
          <t>Y</t>
        </is>
      </c>
      <c r="I18" s="7" t="inlineStr">
        <is>
          <t>Y</t>
        </is>
      </c>
      <c r="J18" s="7" t="inlineStr">
        <is>
          <t>Y</t>
        </is>
      </c>
      <c r="K18" s="1">
        <f>(14-COUNTIF(L18:Y18,"N"))/(14)</f>
        <v/>
      </c>
      <c r="L18" s="1" t="inlineStr">
        <is>
          <t>Iron meteorite metal (kamacite + taenite); pyroxene-bearing pallasite metal</t>
        </is>
      </c>
      <c r="M18" s="1" t="inlineStr">
        <is>
          <t>Pallasite olivine ([Mg,Fe]₂SiO₄)</t>
        </is>
      </c>
      <c r="N18" s="1" t="inlineStr">
        <is>
          <t>Pallasite olivine ([Mg,Fe]₂SiO₄)</t>
        </is>
      </c>
      <c r="O18" s="1" t="inlineStr">
        <is>
          <t>Pallasite Ca-phosphate (merrillite, stanfieldite, farringtonite)</t>
        </is>
      </c>
      <c r="P18" s="1" t="inlineStr">
        <is>
          <t>Cosmic spherule micrometeorites (silicate glass, olivine, magnetite)</t>
        </is>
      </c>
      <c r="Q18" s="1" t="inlineStr">
        <is>
          <t>CAI (calcium–aluminum-rich inclusion) constituent minerals (spinel, diopside, hibonite, nepheline, etc.)</t>
        </is>
      </c>
      <c r="R18" s="1" t="inlineStr">
        <is>
          <t>Pallasite olivine ([Mg,Fe]₂SiO₄)</t>
        </is>
      </c>
      <c r="S18" s="1" t="inlineStr">
        <is>
          <t>CR chondrite metal grains (interior, margin, and isolated types)</t>
        </is>
      </c>
      <c r="T18" s="1" t="inlineStr">
        <is>
          <t>Iron meteorite metal (kamacite + taenite)</t>
        </is>
      </c>
      <c r="U18" s="1" t="inlineStr">
        <is>
          <t>Iron meteorite metal (kamacite + plessite)</t>
        </is>
      </c>
      <c r="V18" s="1" t="inlineStr">
        <is>
          <t>Lunar meteorite silicates (plagioclase, pyroxene, ilmenite, glass)</t>
        </is>
      </c>
      <c r="W18" s="1" t="inlineStr">
        <is>
          <t>Li-borate flux fusion glass (extraterrestrial sample preparation)</t>
        </is>
      </c>
      <c r="X18" s="1" t="inlineStr">
        <is>
          <t>Experimental dacitic silicate glass (quench product)</t>
        </is>
      </c>
      <c r="Y18" s="1" t="inlineStr">
        <is>
          <t>Experimental pyrrhotite (Fe₁₋ₓS) sulfide (quench product)</t>
        </is>
      </c>
    </row>
    <row r="19">
      <c r="A19" s="1" t="inlineStr">
        <is>
          <t>Sample Form / Analytical Substrate</t>
        </is>
      </c>
      <c r="B19" s="1" t="inlineStr">
        <is>
          <t>Physical form of the material as it enters the ablation cell. Editable to accommodate legitimate variations (e.g., thin section vs. mount) that do not alter the analytical protocol.</t>
        </is>
      </c>
      <c r="C19" s="5" t="inlineStr">
        <is>
          <t>Basic</t>
        </is>
      </c>
      <c r="D19" s="9" t="inlineStr">
        <is>
          <t>Editable</t>
        </is>
      </c>
      <c r="E19" s="1" t="inlineStr">
        <is>
          <t>Controlled list</t>
        </is>
      </c>
      <c r="F19" s="1" t="inlineStr">
        <is>
          <t>In situ — polished thin section | In situ — polished epoxy mount | In situ — polished thick section | Pressed powder pellet | Li-borate fused glass disc | Nano-particulate pressed pellet | Liquid | Other: specify</t>
        </is>
      </c>
      <c r="G19" s="1" t="n"/>
      <c r="H19" s="7" t="inlineStr">
        <is>
          <t>Y</t>
        </is>
      </c>
      <c r="I19" s="7" t="inlineStr">
        <is>
          <t>Y</t>
        </is>
      </c>
      <c r="J19" s="7" t="inlineStr">
        <is>
          <t>Y</t>
        </is>
      </c>
      <c r="K19" s="1">
        <f>(14-COUNTIF(L19:Y19,"N"))/(14)</f>
        <v/>
      </c>
      <c r="L19" s="1" t="inlineStr">
        <is>
          <t>Polished metal slab (in situ)</t>
        </is>
      </c>
      <c r="M19" s="1" t="inlineStr">
        <is>
          <t>In situ — polished epoxy thick section (HELEX II two-volume cell)</t>
        </is>
      </c>
      <c r="N19" s="1" t="inlineStr">
        <is>
          <t>In situ — polished epoxy thick section; pre-ablated before trace element run</t>
        </is>
      </c>
      <c r="O19" s="1" t="inlineStr">
        <is>
          <t>In situ — polished epoxy thick section</t>
        </is>
      </c>
      <c r="P19" s="1" t="inlineStr">
        <is>
          <t>In situ — polished epoxy mount (progressively polished to 4000 grit)</t>
        </is>
      </c>
      <c r="Q19" s="1" t="inlineStr">
        <is>
          <t>In situ — polished epoxy mount (Allende slab sections embedded in epoxy)</t>
        </is>
      </c>
      <c r="R19" s="1" t="inlineStr">
        <is>
          <t>In situ — polished grain mount (olivine grain fragments)</t>
        </is>
      </c>
      <c r="S19" s="1" t="inlineStr">
        <is>
          <t>In situ — polished epoxy thick section (petropoxy 154 resin, 0.5 µm diamond finish)</t>
        </is>
      </c>
      <c r="T19" s="1" t="inlineStr">
        <is>
          <t>In situ — polished epoxy mount (~1 cm fragments in epoxy, etched with Nital)</t>
        </is>
      </c>
      <c r="U19" s="1" t="inlineStr">
        <is>
          <t>In situ — polished epoxy mount (same Augusto Pestana fragment as spot protocol)</t>
        </is>
      </c>
      <c r="V19" s="1" t="inlineStr">
        <is>
          <t>In situ — polished thin section (two-volume cell)</t>
        </is>
      </c>
      <c r="W19" s="1" t="inlineStr">
        <is>
          <t>Li-borate flux fusion glass disc (10 mg sample + 350 mg Li₂B₄O₇, 35:1 dilution)</t>
        </is>
      </c>
      <c r="X19" s="1" t="inlineStr">
        <is>
          <t>In situ — polished epoxy mount (experimental capsule half-section)</t>
        </is>
      </c>
      <c r="Y19" s="1" t="inlineStr">
        <is>
          <t>In situ — polished epoxy mount (same capsule section as glass protocol)</t>
        </is>
      </c>
    </row>
    <row r="20">
      <c r="A20" s="1" t="inlineStr">
        <is>
          <t>Sample Name</t>
        </is>
      </c>
      <c r="B20" s="1" t="inlineStr">
        <is>
          <t>Name or identifier of the sample analysed, as used in the laboratory. Should match the identifier used in associated publications or data tables.</t>
        </is>
      </c>
      <c r="C20" s="8" t="inlineStr">
        <is>
          <t>N/A</t>
        </is>
      </c>
      <c r="D20" s="5" t="inlineStr">
        <is>
          <t>Basic</t>
        </is>
      </c>
      <c r="E20" s="1" t="inlineStr">
        <is>
          <t>Text (free)</t>
        </is>
      </c>
      <c r="F20" s="1" t="inlineStr">
        <is>
          <t>e.g., 'NWA 10597 ol-1' | 'Imilac PMG section 3 grain 2'</t>
        </is>
      </c>
      <c r="G20" s="1" t="n"/>
      <c r="H20" s="7" t="inlineStr">
        <is>
          <t>Y</t>
        </is>
      </c>
      <c r="I20" s="7" t="inlineStr">
        <is>
          <t>Y</t>
        </is>
      </c>
      <c r="J20" s="7" t="inlineStr">
        <is>
          <t>Y</t>
        </is>
      </c>
      <c r="K20" s="1"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c r="A21" s="1" t="inlineStr">
        <is>
          <t>Sample Persistent Identifier</t>
        </is>
      </c>
      <c r="B21" s="1" t="inlineStr">
        <is>
          <t>Globally unique, persistent identifier for the analysed sample. IGSN (International Geo Sample Number) is the recommended standard for geological and cosmochemical samples, as used by Astromat, EarthChem, and SESAR.</t>
        </is>
      </c>
      <c r="C21" s="8" t="inlineStr">
        <is>
          <t>N/A</t>
        </is>
      </c>
      <c r="D21" s="10" t="inlineStr">
        <is>
          <t>Advanced</t>
        </is>
      </c>
      <c r="E21" s="1" t="inlineStr">
        <is>
          <t>URI / IGSN</t>
        </is>
      </c>
      <c r="F21" s="1" t="inlineStr">
        <is>
          <t>e.g., IGSN: IEDA-100001 (https://www.igsn.org/) | Smithsonian NMNH catalog number</t>
        </is>
      </c>
      <c r="G21" s="1" t="n"/>
      <c r="H21" s="7" t="inlineStr">
        <is>
          <t>Y</t>
        </is>
      </c>
      <c r="I21" s="7" t="inlineStr">
        <is>
          <t>Y</t>
        </is>
      </c>
      <c r="J21" s="7" t="inlineStr">
        <is>
          <t>Y</t>
        </is>
      </c>
      <c r="K21" s="1" t="n"/>
      <c r="L21" s="1" t="inlineStr">
        <is>
          <t>N</t>
        </is>
      </c>
      <c r="M21" s="1" t="inlineStr">
        <is>
          <t>N</t>
        </is>
      </c>
      <c r="N21" s="1" t="inlineStr">
        <is>
          <t>N</t>
        </is>
      </c>
      <c r="O21" s="1" t="inlineStr">
        <is>
          <t>N</t>
        </is>
      </c>
      <c r="P21" s="1" t="inlineStr">
        <is>
          <t>N</t>
        </is>
      </c>
      <c r="Q21" s="1" t="inlineStr">
        <is>
          <t>N</t>
        </is>
      </c>
      <c r="R21" s="1" t="inlineStr">
        <is>
          <t>N</t>
        </is>
      </c>
      <c r="S21" s="1" t="inlineStr">
        <is>
          <t>N</t>
        </is>
      </c>
      <c r="T21" s="1" t="inlineStr">
        <is>
          <t>N</t>
        </is>
      </c>
      <c r="U21" s="1" t="inlineStr">
        <is>
          <t>N</t>
        </is>
      </c>
      <c r="V21" s="1" t="inlineStr">
        <is>
          <t>N</t>
        </is>
      </c>
      <c r="W21" s="1" t="inlineStr">
        <is>
          <t>N</t>
        </is>
      </c>
      <c r="X21" s="1" t="inlineStr">
        <is>
          <t>N</t>
        </is>
      </c>
      <c r="Y21" s="1" t="inlineStr">
        <is>
          <t>N</t>
        </is>
      </c>
    </row>
    <row r="22">
      <c r="A22" s="1" t="inlineStr">
        <is>
          <t>Fusion Flux and Dilution Ratio</t>
        </is>
      </c>
      <c r="B22" s="1" t="inlineStr">
        <is>
          <t>For protocols using fused glass, the flux type and sample:flux dilution ratio used to prepare the analytical glass.</t>
        </is>
      </c>
      <c r="C22" s="10" t="inlineStr">
        <is>
          <t>Advanced</t>
        </is>
      </c>
      <c r="D22" s="9" t="inlineStr">
        <is>
          <t>Editable</t>
        </is>
      </c>
      <c r="E22" s="1" t="inlineStr">
        <is>
          <t>Text (free)</t>
        </is>
      </c>
      <c r="F22" s="1" t="inlineStr">
        <is>
          <t>e.g., 'Li-tetraborate, 1:2 (sample:flux)' | 'Li-metaborate/tetraborate 50:50, 1:5' | 'Not applicable (in situ)'</t>
        </is>
      </c>
      <c r="G22" s="1" t="n"/>
      <c r="H22" s="7" t="inlineStr">
        <is>
          <t>Y</t>
        </is>
      </c>
      <c r="I22" s="7" t="inlineStr">
        <is>
          <t>Y</t>
        </is>
      </c>
      <c r="J22" s="7" t="inlineStr">
        <is>
          <t>Y</t>
        </is>
      </c>
      <c r="K22" s="1">
        <f>(14-COUNTIF(L22:Y22,"N"))/(14)</f>
        <v/>
      </c>
      <c r="L22" s="1" t="inlineStr">
        <is>
          <t>N/A</t>
        </is>
      </c>
      <c r="M22" s="1" t="inlineStr">
        <is>
          <t>N/A</t>
        </is>
      </c>
      <c r="N22" s="1" t="inlineStr">
        <is>
          <t>N/A</t>
        </is>
      </c>
      <c r="O22" s="1" t="inlineStr">
        <is>
          <t>N/A</t>
        </is>
      </c>
      <c r="P22" s="1" t="inlineStr">
        <is>
          <t>N/A</t>
        </is>
      </c>
      <c r="Q22" s="1" t="inlineStr">
        <is>
          <t>N/A</t>
        </is>
      </c>
      <c r="R22" s="1" t="inlineStr">
        <is>
          <t>N/A</t>
        </is>
      </c>
      <c r="S22" s="1" t="inlineStr">
        <is>
          <t>N/A</t>
        </is>
      </c>
      <c r="T22" s="1" t="inlineStr">
        <is>
          <t>N/A</t>
        </is>
      </c>
      <c r="U22" s="1" t="inlineStr">
        <is>
          <t>N/A</t>
        </is>
      </c>
      <c r="V22" s="1" t="inlineStr">
        <is>
          <t>N/A</t>
        </is>
      </c>
      <c r="W22" s="1" t="inlineStr">
        <is>
          <t>Li₂B₄O₇ flux; sample:flux = 1:35 (10 mg sample + 350 mg flux)</t>
        </is>
      </c>
      <c r="X22" s="1" t="inlineStr">
        <is>
          <t>N/A</t>
        </is>
      </c>
      <c r="Y22" s="1" t="inlineStr">
        <is>
          <t>N/A</t>
        </is>
      </c>
    </row>
    <row r="23">
      <c r="A23" s="1" t="inlineStr">
        <is>
          <t>Sample Preparation Method</t>
        </is>
      </c>
      <c r="B23" s="1" t="inlineStr">
        <is>
          <t>Description of how samples were prepared for analysis (mounting, polishing, coating, fusion procedure, etc.).</t>
        </is>
      </c>
      <c r="C23" s="10" t="inlineStr">
        <is>
          <t>Advanced</t>
        </is>
      </c>
      <c r="D23" s="9" t="inlineStr">
        <is>
          <t>Editable</t>
        </is>
      </c>
      <c r="E23" s="1" t="inlineStr">
        <is>
          <t>Text (free)</t>
        </is>
      </c>
      <c r="F23" s="1" t="inlineStr">
        <is>
          <t>e.g., 'Polished thin section, uncoated' | '25 mm epoxy mount, polished to 0.25 µm diamond' | 'Double-fused Li-tetraborate bead, polished to 1 µm'</t>
        </is>
      </c>
      <c r="G23" s="1" t="n"/>
      <c r="H23" s="7" t="inlineStr">
        <is>
          <t>Y</t>
        </is>
      </c>
      <c r="I23" s="7" t="inlineStr">
        <is>
          <t>Y</t>
        </is>
      </c>
      <c r="J23" s="7" t="inlineStr">
        <is>
          <t>Y</t>
        </is>
      </c>
      <c r="K23" s="1">
        <f>(14-COUNTIF(L23:Y23,"N"))/(14)</f>
        <v/>
      </c>
      <c r="L23" s="1" t="inlineStr">
        <is>
          <t>Polished metal slabs and thin sections; no acid treatment described</t>
        </is>
      </c>
      <c r="M23" s="1" t="inlineStr">
        <is>
          <t>PMG thick sections polished; HELEX II two-volume cell; C-coated for SEM then coating removed before LA</t>
        </is>
      </c>
      <c r="N23" s="1" t="inlineStr">
        <is>
          <t>PMG thick sections polished; pre-ablation pass (2 J cm⁻², 20 Hz, 150 µm square, 300 µm s⁻¹) before trace element run</t>
        </is>
      </c>
      <c r="O23" s="1" t="inlineStr">
        <is>
          <t>PMG thick sections polished; same as olivine mapping preparation</t>
        </is>
      </c>
      <c r="P23" s="1" t="inlineStr">
        <is>
          <t>Epoxy mounts progressively polished with 1200–4000 grit SiC then 4000 grit diamond; C-coated for SEM then gently re-polished</t>
        </is>
      </c>
      <c r="Q23" s="1" t="inlineStr">
        <is>
          <t>Polished Allende slabs cut to include each FG, embedded in epoxy, polished; EDS mapping performed before LA</t>
        </is>
      </c>
      <c r="R23" s="1" t="inlineStr">
        <is>
          <t>Olivine grain fragments repeatedly washed in dilute HCl and triply distilled H₂O, hand-picked, polished grain mounts</t>
        </is>
      </c>
      <c r="S23" s="1" t="inlineStr">
        <is>
          <t>Thick sections in petropoxy 154 resin, polished to 0.5 µm diamond paste, C-coated for EPMA then surface polished before LA</t>
        </is>
      </c>
      <c r="T23" s="1" t="inlineStr">
        <is>
          <t>Fragments ~1 cm mounted in epoxy resin, polished, cleaned with ultrapure water</t>
        </is>
      </c>
      <c r="U23" s="1" t="inlineStr">
        <is>
          <t>Same Augusto Pestana fragment etched with Nital solution (2% v/v HNO₃ in ethanol) to reveal kamacite and plessite</t>
        </is>
      </c>
      <c r="V23" s="1" t="inlineStr">
        <is>
          <t>Polished thin section (two-volume cell)</t>
        </is>
      </c>
      <c r="W23" s="1" t="inlineStr">
        <is>
          <t>Li-borate fusion: 350 mg Li₂B₄O₇ + 10 mg powdered sample fused in Pt-Au crucible (M4 automatic fluxer); glass surface cleaned with ethanol before LA</t>
        </is>
      </c>
      <c r="X23" s="1" t="inlineStr">
        <is>
          <t>Experimental capsule longitudinally sectioned with wire saw; half mounted in epoxy for analysis</t>
        </is>
      </c>
      <c r="Y23" s="1" t="inlineStr">
        <is>
          <t>Same capsule section as silicate glass; sulfide grains ≥20 µm selected by SEM-BSE</t>
        </is>
      </c>
    </row>
    <row r="24">
      <c r="A24" s="1" t="inlineStr">
        <is>
          <t>Pre-Ablation Surface Treatment</t>
        </is>
      </c>
      <c r="B24" s="1" t="inlineStr">
        <is>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4" s="10" t="inlineStr">
        <is>
          <t>Advanced</t>
        </is>
      </c>
      <c r="D24" s="9" t="inlineStr">
        <is>
          <t>Editable</t>
        </is>
      </c>
      <c r="E24" s="1" t="inlineStr">
        <is>
          <t>Text (free)</t>
        </is>
      </c>
      <c r="F24" s="1" t="inlineStr">
        <is>
          <t>e.g., '10 pre-ablation pulses discarded before acquisition (50 µm, 10 Hz, 2 J cm⁻²)' | '150 µm square spot, 2 J cm⁻², 20 Hz, 300 µm s⁻¹ pre-ablation pass (Chernonozhkin et al. 2021)' | 'None'</t>
        </is>
      </c>
      <c r="G24" s="1" t="n"/>
      <c r="H24" s="7" t="inlineStr">
        <is>
          <t>Y</t>
        </is>
      </c>
      <c r="I24" s="7" t="inlineStr">
        <is>
          <t>Y</t>
        </is>
      </c>
      <c r="J24" s="7" t="inlineStr">
        <is>
          <t>Y</t>
        </is>
      </c>
      <c r="K24" s="1">
        <f>(14-COUNTIF(L24:Y24,"N"))/(14)</f>
        <v/>
      </c>
      <c r="L24" s="1" t="inlineStr">
        <is>
          <t>N</t>
        </is>
      </c>
      <c r="M24" s="1" t="inlineStr">
        <is>
          <t>N (mapping; surface effects average out over large area)</t>
        </is>
      </c>
      <c r="N24" s="1" t="inlineStr">
        <is>
          <t>Pre-ablation pass: 150 µm square, 2 J cm⁻², 20 Hz, 300 µm s⁻¹ scan before trace element spot run; removes surface contamination and re-deposited material</t>
        </is>
      </c>
      <c r="O24" s="1" t="inlineStr">
        <is>
          <t>N</t>
        </is>
      </c>
      <c r="P24" s="1" t="inlineStr">
        <is>
          <t>N</t>
        </is>
      </c>
      <c r="Q24" s="1" t="inlineStr">
        <is>
          <t>N</t>
        </is>
      </c>
      <c r="R24" s="1" t="inlineStr">
        <is>
          <t>N (grains imaged by SEM to locate inclusion-free regions)</t>
        </is>
      </c>
      <c r="S24" s="1" t="inlineStr">
        <is>
          <t>N</t>
        </is>
      </c>
      <c r="T24" s="1" t="inlineStr">
        <is>
          <t>N</t>
        </is>
      </c>
      <c r="U24" s="1" t="inlineStr">
        <is>
          <t>N</t>
        </is>
      </c>
      <c r="V24" s="1" t="inlineStr">
        <is>
          <t>N</t>
        </is>
      </c>
      <c r="W24" s="1" t="inlineStr">
        <is>
          <t>Surface cleaning with ethanol before analysis</t>
        </is>
      </c>
      <c r="X24" s="1" t="inlineStr">
        <is>
          <t>N</t>
        </is>
      </c>
      <c r="Y24" s="1" t="inlineStr">
        <is>
          <t>N</t>
        </is>
      </c>
    </row>
    <row r="25" ht="8" customHeight="1"/>
    <row r="26">
      <c r="A26" s="4" t="inlineStr">
        <is>
          <t>3. Instrument &amp; Software</t>
        </is>
      </c>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c r="A27" s="1" t="inlineStr">
        <is>
          <t>Laser Manufacturer &amp; Model</t>
        </is>
      </c>
      <c r="B27" s="1" t="inlineStr">
        <is>
          <t>Manufacturer and model of the laser ablation system.</t>
        </is>
      </c>
      <c r="C27" s="5" t="inlineStr">
        <is>
          <t>Basic</t>
        </is>
      </c>
      <c r="D27" s="6" t="inlineStr">
        <is>
          <t>Read-Only</t>
        </is>
      </c>
      <c r="E27" s="1" t="inlineStr">
        <is>
          <t>Text (free)</t>
        </is>
      </c>
      <c r="F27" s="1" t="inlineStr">
        <is>
          <t>e.g., 'ESI/NWR imageGEO193' | 'Coherent GeoLas HD' | 'Teledyne Analyte Excite 193' | 'Teledyne Analyte G2'</t>
        </is>
      </c>
      <c r="G27" s="1" t="n"/>
      <c r="H27" s="7" t="inlineStr">
        <is>
          <t>Y</t>
        </is>
      </c>
      <c r="I27" s="7" t="inlineStr">
        <is>
          <t>Y</t>
        </is>
      </c>
      <c r="J27" s="7" t="inlineStr">
        <is>
          <t>Y</t>
        </is>
      </c>
      <c r="K27" s="1">
        <f>(14-COUNTIF(L27:Y27,"N"))/(14)</f>
        <v/>
      </c>
      <c r="L27" s="1" t="inlineStr">
        <is>
          <t>ESI New Wave UP193FX (193 nm Nd:YAG frequency-quintupled solid state)</t>
        </is>
      </c>
      <c r="M27" s="1" t="inlineStr">
        <is>
          <t>Teledyne CETAC Technologies Analyte G2 (193 nm ArF excimer)</t>
        </is>
      </c>
      <c r="N27" s="1" t="inlineStr">
        <is>
          <t>Teledyne CETAC Technologies Analyte G2 (193 nm ArF excimer)</t>
        </is>
      </c>
      <c r="O27" s="1" t="inlineStr">
        <is>
          <t>Teledyne CETAC Technologies Analyte G2 (193 nm ArF excimer)</t>
        </is>
      </c>
      <c r="P27" s="1" t="inlineStr">
        <is>
          <t>Teledyne Photon Machines Iridia (193 nm ArF excimer)</t>
        </is>
      </c>
      <c r="Q27" s="1" t="inlineStr">
        <is>
          <t>S.T. Japan Inc. Jupiter Solid Nebulizer (msfsLA system; Yb:KGW fs laser, 260 nm)</t>
        </is>
      </c>
      <c r="R27" s="1" t="inlineStr">
        <is>
          <t>New Wave UP-193 (solid state, 193 nm)</t>
        </is>
      </c>
      <c r="S27" s="1" t="inlineStr">
        <is>
          <t>Cyber Laser IFRIT (Ti:sapphire fs UV laser, 260 nm)</t>
        </is>
      </c>
      <c r="T27" s="1" t="inlineStr">
        <is>
          <t>Teledyne Excite 193 (193 nm ArF excimer)</t>
        </is>
      </c>
      <c r="U27" s="1" t="inlineStr">
        <is>
          <t>Teledyne Excite 193 (193 nm ArF excimer)</t>
        </is>
      </c>
      <c r="V27" s="1" t="inlineStr">
        <is>
          <t>New Wave Research NWR FemtoUC (Yb:KGW fs, 257 nm PHAROS amplifier)</t>
        </is>
      </c>
      <c r="W27" s="1" t="inlineStr">
        <is>
          <t>Shanghai Chemlab GenesisGEO (high-repetition-rate fs laser, 343 nm)</t>
        </is>
      </c>
      <c r="X27" s="1" t="inlineStr">
        <is>
          <t>Teledyne CETAC CetacAnalyte HE (193 nm, ns)</t>
        </is>
      </c>
      <c r="Y27" s="1" t="inlineStr">
        <is>
          <t>Teledyne CETAC CetacAnalyte HE (193 nm, ns)</t>
        </is>
      </c>
    </row>
    <row r="28">
      <c r="A28" s="1" t="inlineStr">
        <is>
          <t>ICP-MS Manufacturer &amp; Model</t>
        </is>
      </c>
      <c r="B28" s="1" t="inlineStr">
        <is>
          <t>Manufacturer and model of the ICP-MS instrument.</t>
        </is>
      </c>
      <c r="C28" s="5" t="inlineStr">
        <is>
          <t>Basic</t>
        </is>
      </c>
      <c r="D28" s="6" t="inlineStr">
        <is>
          <t>Read-Only</t>
        </is>
      </c>
      <c r="E28" s="1" t="inlineStr">
        <is>
          <t>Text (free)</t>
        </is>
      </c>
      <c r="F28" s="1" t="inlineStr">
        <is>
          <t>e.g., 'Thermo Scientific iCAP TQ' | 'Agilent 7900' | 'Thermo Scientific Element XR' | 'TOFWERK icpTOF'</t>
        </is>
      </c>
      <c r="G28" s="1" t="n"/>
      <c r="H28" s="7" t="inlineStr">
        <is>
          <t>Y</t>
        </is>
      </c>
      <c r="I28" s="7" t="inlineStr">
        <is>
          <t>Y</t>
        </is>
      </c>
      <c r="J28" s="7" t="inlineStr">
        <is>
          <t>Y</t>
        </is>
      </c>
      <c r="K28" s="1">
        <f>(14-COUNTIF(L28:Y28,"N"))/(14)</f>
        <v/>
      </c>
      <c r="L28" s="1" t="inlineStr">
        <is>
          <t>Thermo Fisher Scientific Element XR (SF-ICP-MS)</t>
        </is>
      </c>
      <c r="M28" s="1" t="inlineStr">
        <is>
          <t>Thermo Fisher Scientific Element XR (SF-ICP-MS)</t>
        </is>
      </c>
      <c r="N28" s="1" t="inlineStr">
        <is>
          <t>Thermo Fisher Scientific Element XR (SF-ICP-MS)</t>
        </is>
      </c>
      <c r="O28" s="1" t="inlineStr">
        <is>
          <t>Thermo Fisher Scientific Element XR (SF-ICP-MS)</t>
        </is>
      </c>
      <c r="P28" s="1" t="inlineStr">
        <is>
          <t>TOFWERK icpTOF 2R (ICP-ToF-MS)</t>
        </is>
      </c>
      <c r="Q28" s="1" t="inlineStr">
        <is>
          <t>Thermo Fisher Scientific iCAP TQ (Q-ICP-MS with CRC)</t>
        </is>
      </c>
      <c r="R28" s="1" t="inlineStr">
        <is>
          <t>Thermo Fisher Scientific Element XR (SF-ICP-MS)</t>
        </is>
      </c>
      <c r="S28" s="1" t="inlineStr">
        <is>
          <t>Thermo Scientific X-series 2 (Q-ICP-MS)</t>
        </is>
      </c>
      <c r="T28" s="1" t="inlineStr">
        <is>
          <t>Thermo Fisher Scientific Element XR (SF-ICP-MS)</t>
        </is>
      </c>
      <c r="U28" s="1" t="inlineStr">
        <is>
          <t>Thermo Fisher Scientific Element XR (SF-ICP-MS)</t>
        </is>
      </c>
      <c r="V28" s="1" t="inlineStr">
        <is>
          <t>Thermo Fisher Scientific NEPTUNE Plus (MC-ICP-MS)</t>
        </is>
      </c>
      <c r="W28" s="1" t="inlineStr">
        <is>
          <t>Agilent 8900 (Q-ICP-MS; ICP-MS/MS capable)</t>
        </is>
      </c>
      <c r="X28" s="1" t="inlineStr">
        <is>
          <t>Agilent 7900 (Q-ICP-MS)</t>
        </is>
      </c>
      <c r="Y28" s="1" t="inlineStr">
        <is>
          <t>Agilent 7900 (Q-ICP-MS)</t>
        </is>
      </c>
    </row>
    <row r="29">
      <c r="A29" s="1" t="inlineStr">
        <is>
          <t>ICP-MS Type</t>
        </is>
      </c>
      <c r="B29" s="1" t="inlineStr">
        <is>
          <t>Type of ICP-MS mass analyser and collector configuration.</t>
        </is>
      </c>
      <c r="C29" s="5" t="inlineStr">
        <is>
          <t>Basic</t>
        </is>
      </c>
      <c r="D29" s="6" t="inlineStr">
        <is>
          <t>Read-Only</t>
        </is>
      </c>
      <c r="E29" s="1" t="inlineStr">
        <is>
          <t>Controlled list</t>
        </is>
      </c>
      <c r="F29" s="1" t="inlineStr">
        <is>
          <t>Single-collector quadrupole (Q-ICP-MS) | Single-collector sector-field (SF-ICP-MS) | Multi-collector sector-field (MC-ICP-MS) | Time-of-flight (ICP-ToF-MS) | Triple quadrupole (ICP-MS/MS) | Other: specify</t>
        </is>
      </c>
      <c r="G29" s="1" t="n"/>
      <c r="H29" s="7" t="inlineStr">
        <is>
          <t>Y</t>
        </is>
      </c>
      <c r="I29" s="7" t="inlineStr">
        <is>
          <t>Y</t>
        </is>
      </c>
      <c r="J29" s="7" t="inlineStr">
        <is>
          <t>Y</t>
        </is>
      </c>
      <c r="K29" s="1">
        <f>(14-COUNTIF(L29:Y29,"N"))/(14)</f>
        <v/>
      </c>
      <c r="L29" s="1" t="inlineStr">
        <is>
          <t>Single-collector sector-field (SF-ICP-MS)</t>
        </is>
      </c>
      <c r="M29" s="1" t="inlineStr">
        <is>
          <t>Single-collector sector-field (SF-ICP-MS)</t>
        </is>
      </c>
      <c r="N29" s="1" t="inlineStr">
        <is>
          <t>Single-collector sector-field (SF-ICP-MS)</t>
        </is>
      </c>
      <c r="O29" s="1" t="inlineStr">
        <is>
          <t>Single-collector sector-field (SF-ICP-MS)</t>
        </is>
      </c>
      <c r="P29" s="1" t="inlineStr">
        <is>
          <t>Time-of-flight (ICP-ToF-MS)</t>
        </is>
      </c>
      <c r="Q29" s="1" t="inlineStr">
        <is>
          <t>Single-collector quadrupole (Q-ICP-MS) with collision/reaction cell (CRC)</t>
        </is>
      </c>
      <c r="R29" s="1" t="inlineStr">
        <is>
          <t>Single-collector sector-field (SF-ICP-MS)</t>
        </is>
      </c>
      <c r="S29" s="1" t="inlineStr">
        <is>
          <t>Single-collector quadrupole (Q-ICP-MS)</t>
        </is>
      </c>
      <c r="T29" s="1" t="inlineStr">
        <is>
          <t>Single-collector sector-field (SF-ICP-MS)</t>
        </is>
      </c>
      <c r="U29" s="1" t="inlineStr">
        <is>
          <t>Single-collector sector-field (SF-ICP-MS)</t>
        </is>
      </c>
      <c r="V29" s="1" t="inlineStr">
        <is>
          <t>Multi-collector sector-field (MC-ICP-MS)</t>
        </is>
      </c>
      <c r="W29" s="1" t="inlineStr">
        <is>
          <t>Single-collector quadrupole (Q-ICP-MS)</t>
        </is>
      </c>
      <c r="X29" s="1" t="inlineStr">
        <is>
          <t>Single-collector quadrupole (Q-ICP-MS)</t>
        </is>
      </c>
      <c r="Y29" s="1" t="inlineStr">
        <is>
          <t>Single-collector quadrupole (Q-ICP-MS)</t>
        </is>
      </c>
    </row>
    <row r="30">
      <c r="A30" s="1" t="inlineStr">
        <is>
          <t>Interface Cone Configuration</t>
        </is>
      </c>
      <c r="B30" s="1" t="inlineStr">
        <is>
          <t>Combination of sample cone and skimmer cone installed during analysis.</t>
        </is>
      </c>
      <c r="C30" s="5" t="inlineStr">
        <is>
          <t>Basic</t>
        </is>
      </c>
      <c r="D30" s="6" t="inlineStr">
        <is>
          <t>Read-Only</t>
        </is>
      </c>
      <c r="E30" s="1" t="inlineStr">
        <is>
          <t>Text (free)</t>
        </is>
      </c>
      <c r="F30" s="1" t="inlineStr">
        <is>
          <t>e.g., 'Ni standard sample cone + Ni H-type skimmer' | 'Al standard sample cone + Al H-type skimmer (1.1 mm aperture)' | 'Pt sample cone + Pt skimmer'</t>
        </is>
      </c>
      <c r="G30" s="1" t="n"/>
      <c r="H30" s="7" t="inlineStr">
        <is>
          <t>Y</t>
        </is>
      </c>
      <c r="I30" s="7" t="inlineStr">
        <is>
          <t>Y</t>
        </is>
      </c>
      <c r="J30" s="7" t="inlineStr">
        <is>
          <t>Y</t>
        </is>
      </c>
      <c r="K30" s="1">
        <f>(14-COUNTIF(L30:Y30,"N"))/(14)</f>
        <v/>
      </c>
      <c r="L30" s="1" t="inlineStr">
        <is>
          <t>N</t>
        </is>
      </c>
      <c r="M30" s="1" t="inlineStr">
        <is>
          <t>Al standard sample cone (1.1 mm aperture); Al H-type skimmer (0.8 mm aperture)</t>
        </is>
      </c>
      <c r="N30" s="1" t="inlineStr">
        <is>
          <t>Al standard sample cone (1.1 mm aperture); Al H-type skimmer (0.8 mm aperture)</t>
        </is>
      </c>
      <c r="O30" s="1" t="inlineStr">
        <is>
          <t>Al standard sample cone (1.1 mm aperture); Al H-type skimmer (0.8 mm aperture)</t>
        </is>
      </c>
      <c r="P30" s="1" t="inlineStr">
        <is>
          <t>N (ToF instrument; standard configuration)</t>
        </is>
      </c>
      <c r="Q30" s="1" t="inlineStr">
        <is>
          <t>N (iCAP TQ standard configuration; dry sampler cone for sensitivity enhancement)</t>
        </is>
      </c>
      <c r="R30" s="1" t="inlineStr">
        <is>
          <t>N (parameters lost)</t>
        </is>
      </c>
      <c r="S30" s="1" t="inlineStr">
        <is>
          <t>Ni micro-skimmer cone Xs; Ni sampler cone</t>
        </is>
      </c>
      <c r="T30" s="1" t="inlineStr">
        <is>
          <t>Ni sampler cone; Ni skimmer cone</t>
        </is>
      </c>
      <c r="U30" s="1" t="inlineStr">
        <is>
          <t>Ni sampler cone; Ni skimmer cone</t>
        </is>
      </c>
      <c r="V30" s="1" t="inlineStr">
        <is>
          <t>X skimmer cone + Jet sample cone (high-sensitivity configuration)</t>
        </is>
      </c>
      <c r="W30" s="1" t="inlineStr">
        <is>
          <t>N</t>
        </is>
      </c>
      <c r="X30" s="1" t="inlineStr">
        <is>
          <t>N</t>
        </is>
      </c>
      <c r="Y30" s="1" t="inlineStr">
        <is>
          <t>N</t>
        </is>
      </c>
    </row>
    <row r="31">
      <c r="A31" s="1" t="inlineStr">
        <is>
          <t>Guard Electrode</t>
        </is>
      </c>
      <c r="B31" s="1" t="inlineStr">
        <is>
          <t>Whether the guard electrode (also called extraction lens or Fassel torch shield) was active during analysis.</t>
        </is>
      </c>
      <c r="C31" s="5" t="inlineStr">
        <is>
          <t>Basic</t>
        </is>
      </c>
      <c r="D31" s="6" t="inlineStr">
        <is>
          <t>Read-Only</t>
        </is>
      </c>
      <c r="E31" s="1" t="inlineStr">
        <is>
          <t>Controlled list</t>
        </is>
      </c>
      <c r="F31" s="1" t="inlineStr">
        <is>
          <t>On | Off | Not applicable (instrument does not have guard electrode)</t>
        </is>
      </c>
      <c r="G31" s="1" t="n"/>
      <c r="H31" s="7" t="inlineStr">
        <is>
          <t>Y</t>
        </is>
      </c>
      <c r="I31" s="7" t="inlineStr">
        <is>
          <t>Y</t>
        </is>
      </c>
      <c r="J31" s="7" t="inlineStr">
        <is>
          <t>Y</t>
        </is>
      </c>
      <c r="K31" s="1">
        <f>(14-COUNTIF(L31:Y31,"N"))/(14)</f>
        <v/>
      </c>
      <c r="L31" s="1" t="inlineStr">
        <is>
          <t>N</t>
        </is>
      </c>
      <c r="M31" s="1" t="inlineStr">
        <is>
          <t>N</t>
        </is>
      </c>
      <c r="N31" s="1" t="inlineStr">
        <is>
          <t>N</t>
        </is>
      </c>
      <c r="O31" s="1" t="inlineStr">
        <is>
          <t>N</t>
        </is>
      </c>
      <c r="P31" s="1" t="inlineStr">
        <is>
          <t>N</t>
        </is>
      </c>
      <c r="Q31" s="1" t="inlineStr">
        <is>
          <t>N</t>
        </is>
      </c>
      <c r="R31" s="1" t="inlineStr">
        <is>
          <t>N</t>
        </is>
      </c>
      <c r="S31" s="1" t="inlineStr">
        <is>
          <t>N</t>
        </is>
      </c>
      <c r="T31" s="1" t="inlineStr">
        <is>
          <t>On (active)</t>
        </is>
      </c>
      <c r="U31" s="1" t="inlineStr">
        <is>
          <t>On (active)</t>
        </is>
      </c>
      <c r="V31" s="1" t="inlineStr">
        <is>
          <t>N</t>
        </is>
      </c>
      <c r="W31" s="1" t="inlineStr">
        <is>
          <t>N</t>
        </is>
      </c>
      <c r="X31" s="1" t="inlineStr">
        <is>
          <t>N</t>
        </is>
      </c>
      <c r="Y31" s="1" t="inlineStr">
        <is>
          <t>N</t>
        </is>
      </c>
    </row>
    <row r="32">
      <c r="A32" s="1" t="inlineStr">
        <is>
          <t>Mass Resolution Setting</t>
        </is>
      </c>
      <c r="B32"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32" s="5" t="inlineStr">
        <is>
          <t>Basic</t>
        </is>
      </c>
      <c r="D32" s="9" t="inlineStr">
        <is>
          <t>Editable</t>
        </is>
      </c>
      <c r="E32" s="1" t="inlineStr">
        <is>
          <t>Text (free)</t>
        </is>
      </c>
      <c r="F32" s="1" t="inlineStr">
        <is>
          <t>e.g., Unit resolution — quadrupole (fixed) | Low resolution — SF (~300 m/Δm) | Medium resolution — SF (~3000 m/Δm) | High resolution — SF (~10000 m/Δm) | Other: specify</t>
        </is>
      </c>
      <c r="G32" s="1" t="n"/>
      <c r="H32" s="7" t="inlineStr">
        <is>
          <t>Y</t>
        </is>
      </c>
      <c r="I32" s="7" t="inlineStr">
        <is>
          <t>Y</t>
        </is>
      </c>
      <c r="J32" s="7" t="inlineStr">
        <is>
          <t>Y</t>
        </is>
      </c>
      <c r="K32" s="1">
        <f>(14-COUNTIF(L32:Y32,"N"))/(14)</f>
        <v/>
      </c>
      <c r="L32" s="1" t="inlineStr">
        <is>
          <t>Low resolution (M/ΔM ≈ 400)</t>
        </is>
      </c>
      <c r="M32" s="1" t="inlineStr">
        <is>
          <t>Low resolution (M/ΔM = 300; cool plasma mapping)</t>
        </is>
      </c>
      <c r="N32" s="1" t="inlineStr">
        <is>
          <t>Run 1: Medium resolution (M/ΔM = 4000) for major elements; Run 2: Low resolution (M/ΔM = 300) for trace elements</t>
        </is>
      </c>
      <c r="O32" s="1" t="inlineStr">
        <is>
          <t>Low resolution (M/ΔM = 300)</t>
        </is>
      </c>
      <c r="P32" s="1" t="inlineStr">
        <is>
          <t>N/A — ToF acquires all masses simultaneously; mass resolution ~2500 at m/z 115</t>
        </is>
      </c>
      <c r="Q32" s="1" t="inlineStr">
        <is>
          <t>Unit resolution (quadrupole fixed)</t>
        </is>
      </c>
      <c r="R32" s="1" t="inlineStr">
        <is>
          <t>Medium resolution (m/Δm ≈ 4000)</t>
        </is>
      </c>
      <c r="S32" s="1" t="inlineStr">
        <is>
          <t>Unit resolution (quadrupole fixed)</t>
        </is>
      </c>
      <c r="T32" s="1" t="inlineStr">
        <is>
          <t>Low resolution (M/ΔM = 300)</t>
        </is>
      </c>
      <c r="U32" s="1" t="inlineStr">
        <is>
          <t>Low resolution (M/ΔM = 300)</t>
        </is>
      </c>
      <c r="V32" s="1" t="inlineStr">
        <is>
          <t>Low resolution (M/ΔM ≈ 400)</t>
        </is>
      </c>
      <c r="W32" s="1" t="inlineStr">
        <is>
          <t>Unit resolution (quadrupole; ICP-MS/MS mode not specified)</t>
        </is>
      </c>
      <c r="X32" s="1" t="inlineStr">
        <is>
          <t>Unit resolution (quadrupole fixed)</t>
        </is>
      </c>
      <c r="Y32" s="1" t="inlineStr">
        <is>
          <t>Unit resolution (quadrupole fixed)</t>
        </is>
      </c>
    </row>
    <row r="33">
      <c r="A33" s="1" t="inlineStr">
        <is>
          <t>Detector Configuration</t>
        </is>
      </c>
      <c r="B33" s="1" t="inlineStr">
        <is>
          <t>Type(s) of detector(s) installed in the mass spectrometer. For single-collector instruments, note whether dual pulse-counting/analog mode is used. For multi-collector instruments, describe the Faraday/multiplier cup layout.</t>
        </is>
      </c>
      <c r="C33" s="5" t="inlineStr">
        <is>
          <t>Basic</t>
        </is>
      </c>
      <c r="D33" s="6" t="inlineStr">
        <is>
          <t>Read-Only</t>
        </is>
      </c>
      <c r="E33" s="1" t="inlineStr">
        <is>
          <t>Text (free)</t>
        </is>
      </c>
      <c r="F33" s="1" t="inlineStr">
        <is>
          <t>e.g., 'Single SEM, dual mode (pulse counting and analog)' | 'Single SEM in triple mode (pulse, analog, Faraday)' | 'Nine Faraday cups + one ion counter (MC)'</t>
        </is>
      </c>
      <c r="G33" s="1" t="n"/>
      <c r="H33" s="7" t="inlineStr">
        <is>
          <t>Y</t>
        </is>
      </c>
      <c r="I33" s="7" t="inlineStr">
        <is>
          <t>Y</t>
        </is>
      </c>
      <c r="J33" s="7" t="inlineStr">
        <is>
          <t>Y</t>
        </is>
      </c>
      <c r="K33" s="1">
        <f>(14-COUNTIF(L33:Y33,"N"))/(14)</f>
        <v/>
      </c>
      <c r="L33" s="1" t="inlineStr">
        <is>
          <t>Triple mode detection (pulse counting + analog + Faraday) at 65% duty cycle</t>
        </is>
      </c>
      <c r="M33" s="1" t="inlineStr">
        <is>
          <t>Triple mode detection (all analytical modes)</t>
        </is>
      </c>
      <c r="N33" s="1" t="inlineStr">
        <is>
          <t>Triple mode detection; Faraday used for major elements in run 1</t>
        </is>
      </c>
      <c r="O33" s="1" t="inlineStr">
        <is>
          <t>Triple mode detection</t>
        </is>
      </c>
      <c r="P33" s="1" t="inlineStr">
        <is>
          <t>MCP detector (simultaneous full-spectrum ToF detection); notch filter for Ar-based ions</t>
        </is>
      </c>
      <c r="Q33" s="1" t="inlineStr">
        <is>
          <t>Secondary electron multiplier (SEM)</t>
        </is>
      </c>
      <c r="R33" s="1" t="inlineStr">
        <is>
          <t>N (parameters lost)</t>
        </is>
      </c>
      <c r="S33" s="1" t="inlineStr">
        <is>
          <t>N</t>
        </is>
      </c>
      <c r="T33" s="1" t="inlineStr">
        <is>
          <t>Triple mode detector (pulse counting, analog, Faraday)</t>
        </is>
      </c>
      <c r="U33" s="1" t="inlineStr">
        <is>
          <t>Triple mode detector (pulse counting, analog, Faraday)</t>
        </is>
      </c>
      <c r="V33" s="1" t="inlineStr">
        <is>
          <t>Seven fixed electron multiplier ICs + nine Faraday cups (1011 Ω resistors)</t>
        </is>
      </c>
      <c r="W33" s="1" t="inlineStr">
        <is>
          <t>Dual mode detector (30 ms / 10 ms dwell alternation)</t>
        </is>
      </c>
      <c r="X33" s="1" t="inlineStr">
        <is>
          <t>N</t>
        </is>
      </c>
      <c r="Y33" s="1" t="inlineStr">
        <is>
          <t>N</t>
        </is>
      </c>
    </row>
    <row r="34">
      <c r="A34" s="1" t="inlineStr">
        <is>
          <t>Laser Wavelength and Type</t>
        </is>
      </c>
      <c r="B34" s="1" t="inlineStr">
        <is>
          <t>Wavelength and type of the laser used for ablation in nanometres.</t>
        </is>
      </c>
      <c r="C34" s="5" t="inlineStr">
        <is>
          <t>Basic</t>
        </is>
      </c>
      <c r="D34" s="6" t="inlineStr">
        <is>
          <t>Read-Only</t>
        </is>
      </c>
      <c r="E34" s="1" t="inlineStr">
        <is>
          <t>Text (free)</t>
        </is>
      </c>
      <c r="F34" s="1" t="inlineStr">
        <is>
          <t>e.g., '193 nm ArF excimer' | '213 nm Nd:YAG frequency-quintupled' | '257 nm Yb:KGW femtosecond' | '1030 nm Yb:KGW IR femtosecond'</t>
        </is>
      </c>
      <c r="G34" s="1" t="n"/>
      <c r="H34" s="7" t="inlineStr">
        <is>
          <t>Y</t>
        </is>
      </c>
      <c r="I34" s="7" t="inlineStr">
        <is>
          <t>Y</t>
        </is>
      </c>
      <c r="J34" s="7" t="inlineStr">
        <is>
          <t>Y</t>
        </is>
      </c>
      <c r="K34" s="1">
        <f>(14-COUNTIF(L34:Y34,"N"))/(14)</f>
        <v/>
      </c>
      <c r="L34" s="1" t="inlineStr">
        <is>
          <t>193 nm Nd:YAG solid-state (frequency-quintupled)</t>
        </is>
      </c>
      <c r="M34" s="1" t="inlineStr">
        <is>
          <t>193 nm ArF excimer; pulse duration ~5 ns</t>
        </is>
      </c>
      <c r="N34" s="1" t="inlineStr">
        <is>
          <t>193 nm ArF excimer; pulse duration ~5 ns</t>
        </is>
      </c>
      <c r="O34" s="1" t="inlineStr">
        <is>
          <t>193 nm ArF excimer; pulse duration ~5 ns</t>
        </is>
      </c>
      <c r="P34" s="1" t="inlineStr">
        <is>
          <t>193 nm ArF excimer (Iridia system)</t>
        </is>
      </c>
      <c r="Q34" s="1" t="inlineStr">
        <is>
          <t>260 nm (4th harmonic generation of Yb:KGW); 290 fs pulse duration</t>
        </is>
      </c>
      <c r="R34" s="1" t="inlineStr">
        <is>
          <t>193 nm solid-state (New Wave UP-193)</t>
        </is>
      </c>
      <c r="S34" s="1" t="inlineStr">
        <is>
          <t>260 nm Ti:sapphire femtosecond UV; pulse duration ~220 fs (IFRIT system)</t>
        </is>
      </c>
      <c r="T34" s="1" t="inlineStr">
        <is>
          <t>193 nm ArF excimer; pulse duration 4 ns</t>
        </is>
      </c>
      <c r="U34" s="1" t="inlineStr">
        <is>
          <t>193 nm ArF excimer; pulse duration 4 ns</t>
        </is>
      </c>
      <c r="V34" s="1" t="inlineStr">
        <is>
          <t>257 nm Yb:KGW femtosecond; pulse duration 300 fs (PHAROS system)</t>
        </is>
      </c>
      <c r="W34" s="1" t="inlineStr">
        <is>
          <t>343 nm fs (GenesisGEO high-repetition-rate femtosecond laser)</t>
        </is>
      </c>
      <c r="X34" s="1" t="inlineStr">
        <is>
          <t>193 nm (CetacAnalyte HE; ns pulse)</t>
        </is>
      </c>
      <c r="Y34" s="1" t="inlineStr">
        <is>
          <t>193 nm (CetacAnalyte HE; ns pulse)</t>
        </is>
      </c>
    </row>
    <row r="35">
      <c r="A35" s="1" t="inlineStr">
        <is>
          <t>Acquisition Software</t>
        </is>
      </c>
      <c r="B35" s="1" t="inlineStr">
        <is>
          <t>Instrument control and data acquisition software used to collect raw signal data, including version number. Separate from data reduction software.</t>
        </is>
      </c>
      <c r="C35" s="5" t="inlineStr">
        <is>
          <t>Basic</t>
        </is>
      </c>
      <c r="D35" s="9" t="inlineStr">
        <is>
          <t>Editable</t>
        </is>
      </c>
      <c r="E35" s="1" t="inlineStr">
        <is>
          <t>Text (free)</t>
        </is>
      </c>
      <c r="F35" s="1" t="inlineStr">
        <is>
          <t>e.g., 'Thermo Qtegra 2.10.3324' | 'Agilent MassHunter Workstation 4.6' | 'Thermo PlasmaLab 2.5.4'</t>
        </is>
      </c>
      <c r="G35" s="1" t="n"/>
      <c r="H35" s="7" t="inlineStr">
        <is>
          <t>Y</t>
        </is>
      </c>
      <c r="I35" s="7" t="inlineStr">
        <is>
          <t>Y</t>
        </is>
      </c>
      <c r="J35" s="7" t="inlineStr">
        <is>
          <t>Y</t>
        </is>
      </c>
      <c r="K35" s="1">
        <f>(14-COUNTIF(L35:Y35,"N"))/(14)</f>
        <v/>
      </c>
      <c r="L35" s="1" t="inlineStr">
        <is>
          <t>N</t>
        </is>
      </c>
      <c r="M35" s="1" t="inlineStr">
        <is>
          <t>N</t>
        </is>
      </c>
      <c r="N35" s="1" t="inlineStr">
        <is>
          <t>N</t>
        </is>
      </c>
      <c r="O35" s="1" t="inlineStr">
        <is>
          <t>N</t>
        </is>
      </c>
      <c r="P35" s="1" t="inlineStr">
        <is>
          <t>Tofpilot v2.8 (TOFWERK; preliminary mass calibration, baseline, peak integration)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row>
    <row r="36">
      <c r="A36" s="1" t="inlineStr">
        <is>
          <t>Data Reduction Software</t>
        </is>
      </c>
      <c r="B36" s="1" t="inlineStr">
        <is>
          <t>Software used for signal processing, background subtraction, and concentration calculation, including version number.</t>
        </is>
      </c>
      <c r="C36" s="5" t="inlineStr">
        <is>
          <t>Basic</t>
        </is>
      </c>
      <c r="D36" s="9" t="inlineStr">
        <is>
          <t>Editable</t>
        </is>
      </c>
      <c r="E36" s="1" t="inlineStr">
        <is>
          <t>Text (free)</t>
        </is>
      </c>
      <c r="F36" s="1" t="inlineStr">
        <is>
          <t>e.g., 'Iolite 4.7 (Paton et al. 2011)' | 'GLITTER 4.4' | 'SILLS 1.1.5 (Guillong et al. 2008)' | 'LAtools' | 'In-house MatLab script'</t>
        </is>
      </c>
      <c r="G36" s="1" t="n"/>
      <c r="H36" s="7" t="inlineStr">
        <is>
          <t>Y</t>
        </is>
      </c>
      <c r="I36" s="7" t="inlineStr">
        <is>
          <t>Y</t>
        </is>
      </c>
      <c r="J36" s="7" t="inlineStr">
        <is>
          <t>Y</t>
        </is>
      </c>
      <c r="K36" s="1">
        <f>(14-COUNTIF(L36:Y36,"N"))/(14)</f>
        <v/>
      </c>
      <c r="L36" s="1" t="inlineStr">
        <is>
          <t>In-house (following Humayun 2012)</t>
        </is>
      </c>
      <c r="M36" s="1" t="inlineStr">
        <is>
          <t>In-house MatLab script (Appendix C1)</t>
        </is>
      </c>
      <c r="N36" s="1" t="inlineStr">
        <is>
          <t>In-house MatLab script (Appendix C2)</t>
        </is>
      </c>
      <c r="O36" s="1" t="inlineStr">
        <is>
          <t>In-house MatLab script (Appendix C3)</t>
        </is>
      </c>
      <c r="P36" s="1" t="inlineStr">
        <is>
          <t>HDIP software (Teledyne Photon Machines; data post-processing, calibration, oxide normalization, VOI selection)</t>
        </is>
      </c>
      <c r="Q36" s="1" t="inlineStr">
        <is>
          <t>iQuant 2+ (Suzuki et al. 2018; image processing and REE pattern extraction)</t>
        </is>
      </c>
      <c r="R36" s="1" t="inlineStr">
        <is>
          <t>Excel spreadsheets developed by C.-T. A. Lee (Rice University)</t>
        </is>
      </c>
      <c r="S36" s="1" t="inlineStr">
        <is>
          <t>N (in-house reduction implied)</t>
        </is>
      </c>
      <c r="T36" s="1" t="inlineStr">
        <is>
          <t>iolite 4.5.7 with 3D Trace Elements DRS</t>
        </is>
      </c>
      <c r="U36" s="1" t="inlineStr">
        <is>
          <t>iolite 4.5.7 with 3D Trace Elements DRS</t>
        </is>
      </c>
      <c r="V36" s="1" t="inlineStr">
        <is>
          <t>ISO-Compass software (Zhang et al. 2018)</t>
        </is>
      </c>
      <c r="W36" s="1" t="inlineStr">
        <is>
          <t>Iolite 4 (Paton et al. 2011)</t>
        </is>
      </c>
      <c r="X36" s="1" t="inlineStr">
        <is>
          <t>N (Agilent software implied)</t>
        </is>
      </c>
      <c r="Y36" s="1" t="inlineStr">
        <is>
          <t>N (Agilent software implied)</t>
        </is>
      </c>
    </row>
    <row r="37">
      <c r="A37" s="1" t="inlineStr">
        <is>
          <t>Ablation Cell Type</t>
        </is>
      </c>
      <c r="B37" s="1" t="inlineStr">
        <is>
          <t>Type and model of ablation cell used.</t>
        </is>
      </c>
      <c r="C37" s="10" t="inlineStr">
        <is>
          <t>Advanced</t>
        </is>
      </c>
      <c r="D37" s="6" t="inlineStr">
        <is>
          <t>Read-Only</t>
        </is>
      </c>
      <c r="E37" s="1" t="inlineStr">
        <is>
          <t>Text (free)</t>
        </is>
      </c>
      <c r="F37" s="1" t="inlineStr">
        <is>
          <t>e.g., 'Two-volume HelEx II (Müller et al. 2009)' | 'HDIP low-dispersion tube-type cell' | 'Single-volume standard cell' | 'ARIS (Aerosol Rapid Introduction System)'</t>
        </is>
      </c>
      <c r="G37" s="1" t="n"/>
      <c r="H37" s="7" t="inlineStr">
        <is>
          <t>Y</t>
        </is>
      </c>
      <c r="I37" s="7" t="inlineStr">
        <is>
          <t>Y</t>
        </is>
      </c>
      <c r="J37" s="7" t="inlineStr">
        <is>
          <t>Y</t>
        </is>
      </c>
      <c r="K37" s="1">
        <f>(14-COUNTIF(L37:Y37,"N"))/(14)</f>
        <v/>
      </c>
      <c r="L37" s="1" t="inlineStr">
        <is>
          <t>N (New Wave standard cell)</t>
        </is>
      </c>
      <c r="M37" s="1" t="inlineStr">
        <is>
          <t>HELEX II two-volume ablation cell</t>
        </is>
      </c>
      <c r="N37" s="1" t="inlineStr">
        <is>
          <t>HELEX II two-volume ablation cell</t>
        </is>
      </c>
      <c r="O37" s="1" t="inlineStr">
        <is>
          <t>HELEX II two-volume ablation cell</t>
        </is>
      </c>
      <c r="P37" s="1" t="inlineStr">
        <is>
          <t>Cobalt™ ablation chamber + low-dispersion tube-type cell + ARIS (Aerosol Rapid Introduction System)</t>
        </is>
      </c>
      <c r="Q37" s="1" t="inlineStr">
        <is>
          <t>N (Jupiter Solid Nebulizer with galvanometric scanner; no separate ablation cell described)</t>
        </is>
      </c>
      <c r="R37" s="1" t="inlineStr">
        <is>
          <t>N (standard cell; parameters lost)</t>
        </is>
      </c>
      <c r="S37" s="1" t="inlineStr">
        <is>
          <t>N</t>
        </is>
      </c>
      <c r="T37" s="1" t="inlineStr">
        <is>
          <t>HelEx II two-volume sample cell</t>
        </is>
      </c>
      <c r="U37" s="1" t="inlineStr">
        <is>
          <t>HelEx II two-volume sample cell</t>
        </is>
      </c>
      <c r="V37" s="1" t="inlineStr">
        <is>
          <t>Two-volume cell (constant distance between laser and aerosol extraction)</t>
        </is>
      </c>
      <c r="W37" s="1" t="inlineStr">
        <is>
          <t>N (GenesisGEO standard cell)</t>
        </is>
      </c>
      <c r="X37" s="1" t="inlineStr">
        <is>
          <t>N (CetacAnalyte HE standard cell)</t>
        </is>
      </c>
      <c r="Y37" s="1" t="inlineStr">
        <is>
          <t>N (CetacAnalyte HE standard cell)</t>
        </is>
      </c>
    </row>
    <row r="38" ht="8" customHeight="1"/>
    <row r="39">
      <c r="A39" s="4" t="inlineStr">
        <is>
          <t>4. Measurement Information</t>
        </is>
      </c>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c r="A40" s="1" t="inlineStr">
        <is>
          <t>Default Laser Spot Geometry</t>
        </is>
      </c>
      <c r="B40" s="1" t="inlineStr">
        <is>
          <t>Default shape and dimensions of the laser ablation spot in micrometres. For circular spots, report diameter. For square or rectangular spots, report width × length. Analysts may adjust spot size within protocol-allowed range; actual spot sizes used should be reported at the analysis level.</t>
        </is>
      </c>
      <c r="C40" s="5" t="inlineStr">
        <is>
          <t>Basic</t>
        </is>
      </c>
      <c r="D40" s="9" t="inlineStr">
        <is>
          <t>Editable</t>
        </is>
      </c>
      <c r="E40" s="1" t="inlineStr">
        <is>
          <t>Text (free)</t>
        </is>
      </c>
      <c r="F40" s="1" t="inlineStr">
        <is>
          <t>e.g., '25 µm circular' | '20×20 µm square' | '15 or 25 µm circular (phase-dependent)'</t>
        </is>
      </c>
      <c r="G40" s="1" t="n"/>
      <c r="H40" s="7" t="inlineStr">
        <is>
          <t>Y</t>
        </is>
      </c>
      <c r="I40" s="7" t="inlineStr">
        <is>
          <t>Y</t>
        </is>
      </c>
      <c r="J40" s="7" t="inlineStr">
        <is>
          <t>Y</t>
        </is>
      </c>
      <c r="K40" s="1">
        <f>(14-COUNTIF(L40:Y40,"N"))/(14)</f>
        <v/>
      </c>
      <c r="L40" s="1" t="inlineStr">
        <is>
          <t>Raster: 50 µm circular (also 100 µm for some rasters); Spot (Ge): 150 µm circular</t>
        </is>
      </c>
      <c r="M40" s="1" t="inlineStr">
        <is>
          <t>20×20 µm square</t>
        </is>
      </c>
      <c r="N40" s="1" t="inlineStr">
        <is>
          <t>Run 1 (major): 30 µm circular; Run 2 (trace): 130 µm circular</t>
        </is>
      </c>
      <c r="O40" s="1" t="inlineStr">
        <is>
          <t>110 µm circular (spot mode)</t>
        </is>
      </c>
      <c r="P40" s="1" t="inlineStr">
        <is>
          <t>2 µm circular, 3 µm circular, or 5×5 µm square (session-dependent)</t>
        </is>
      </c>
      <c r="Q40" s="1" t="inlineStr">
        <is>
          <t>10 µm circular</t>
        </is>
      </c>
      <c r="R40" s="1" t="inlineStr">
        <is>
          <t>75 µm circular</t>
        </is>
      </c>
      <c r="S40" s="1" t="inlineStr">
        <is>
          <t>30 µm circular</t>
        </is>
      </c>
      <c r="T40" s="1" t="inlineStr">
        <is>
          <t>150 µm circular</t>
        </is>
      </c>
      <c r="U40" s="1" t="inlineStr">
        <is>
          <t>150 µm square (mapping mode)</t>
        </is>
      </c>
      <c r="V40" s="1" t="inlineStr">
        <is>
          <t>50–60 µm circular</t>
        </is>
      </c>
      <c r="W40" s="1" t="inlineStr">
        <is>
          <t>100×100 µm square (stated as 100 µm diameter spot at 1 Hz)</t>
        </is>
      </c>
      <c r="X40" s="1" t="inlineStr">
        <is>
          <t>40 µm circular (silicate glass)</t>
        </is>
      </c>
      <c r="Y40" s="1" t="inlineStr">
        <is>
          <t>20 µm circular (sulfide; grain sizes &gt;20 µm selected)</t>
        </is>
      </c>
    </row>
    <row r="41">
      <c r="A41" s="1" t="inlineStr">
        <is>
          <t>Laser Spot Path / Ablation Mode</t>
        </is>
      </c>
      <c r="B41" s="1" t="inlineStr">
        <is>
          <t>Sampling mode or ablation pattern used during analysis.</t>
        </is>
      </c>
      <c r="C41" s="5" t="inlineStr">
        <is>
          <t>Basic</t>
        </is>
      </c>
      <c r="D41" s="6" t="inlineStr">
        <is>
          <t>Read-Only</t>
        </is>
      </c>
      <c r="E41" s="1" t="inlineStr">
        <is>
          <t>Controlled list</t>
        </is>
      </c>
      <c r="F41" s="1" t="inlineStr">
        <is>
          <t>Spot (stationary) | Transect (continuous line scan) | Raster area (2D elemental mapping) | Stepped line profile | Other: specify</t>
        </is>
      </c>
      <c r="G41" s="1" t="n"/>
      <c r="H41" s="7" t="inlineStr">
        <is>
          <t>Y</t>
        </is>
      </c>
      <c r="I41" s="7" t="inlineStr">
        <is>
          <t>Y</t>
        </is>
      </c>
      <c r="J41" s="7" t="inlineStr">
        <is>
          <t>Y</t>
        </is>
      </c>
      <c r="K41" s="1">
        <f>(14-COUNTIF(L41:Y41,"N"))/(14)</f>
        <v/>
      </c>
      <c r="L41" s="1" t="inlineStr">
        <is>
          <t>Raster area (2D mapping) for most irons; Spot (stationary) for Ge analysis on 5 irons</t>
        </is>
      </c>
      <c r="M41" s="1" t="inlineStr">
        <is>
          <t>Raster area (2D elemental mapping)</t>
        </is>
      </c>
      <c r="N41" s="1" t="inlineStr">
        <is>
          <t>Transect (line scan, run 1) + Spot (run 2 on same location after pre-ablation)</t>
        </is>
      </c>
      <c r="O41" s="1" t="inlineStr">
        <is>
          <t>Spot (stationary)</t>
        </is>
      </c>
      <c r="P41" s="1" t="inlineStr">
        <is>
          <t>Raster area (2D elemental mapping)</t>
        </is>
      </c>
      <c r="Q41" s="1" t="inlineStr">
        <is>
          <t>Raster area (2D elemental mapping; msfsLA galvanometric scanner)</t>
        </is>
      </c>
      <c r="R41" s="1" t="inlineStr">
        <is>
          <t>Spot (stationary)</t>
        </is>
      </c>
      <c r="S41" s="1" t="inlineStr">
        <is>
          <t>Spot (stationary)</t>
        </is>
      </c>
      <c r="T41" s="1" t="inlineStr">
        <is>
          <t>Spot (stationary)</t>
        </is>
      </c>
      <c r="U41" s="1" t="inlineStr">
        <is>
          <t>Raster area (2D elemental mapping)</t>
        </is>
      </c>
      <c r="V41" s="1" t="inlineStr">
        <is>
          <t>Transect (continuous line scan at 2–6 µm s⁻¹)</t>
        </is>
      </c>
      <c r="W41" s="1" t="inlineStr">
        <is>
          <t>Spot (stationary; single spot at 1 Hz)</t>
        </is>
      </c>
      <c r="X41" s="1" t="inlineStr">
        <is>
          <t>Spot (stationary)</t>
        </is>
      </c>
      <c r="Y41" s="1" t="inlineStr">
        <is>
          <t>Spot (stationary)</t>
        </is>
      </c>
    </row>
    <row r="42">
      <c r="A42" s="1" t="inlineStr">
        <is>
          <t>Laser Energy</t>
        </is>
      </c>
      <c r="B42"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42" s="10" t="inlineStr">
        <is>
          <t>Advanced</t>
        </is>
      </c>
      <c r="D42" s="9" t="inlineStr">
        <is>
          <t>Editable</t>
        </is>
      </c>
      <c r="E42" s="1" t="inlineStr">
        <is>
          <t>Numeric (mJ)</t>
        </is>
      </c>
      <c r="F42" s="1" t="inlineStr">
        <is>
          <t>e.g., 0.001 mJ | 3.5 mJ</t>
        </is>
      </c>
      <c r="G42" s="1" t="n"/>
      <c r="H42" s="7" t="inlineStr">
        <is>
          <t>Y</t>
        </is>
      </c>
      <c r="I42" s="7" t="inlineStr">
        <is>
          <t>Y</t>
        </is>
      </c>
      <c r="J42" s="7" t="inlineStr">
        <is>
          <t>Y</t>
        </is>
      </c>
      <c r="K42" s="1">
        <f>(14-COUNTIF(L42:Y42,"N"))/(14)</f>
        <v/>
      </c>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c r="U42" s="1" t="inlineStr">
        <is>
          <t>N</t>
        </is>
      </c>
      <c r="V42" s="1" t="inlineStr">
        <is>
          <t>N</t>
        </is>
      </c>
      <c r="W42" s="1" t="inlineStr">
        <is>
          <t>N</t>
        </is>
      </c>
      <c r="X42" s="1" t="inlineStr">
        <is>
          <t>N</t>
        </is>
      </c>
      <c r="Y42" s="1" t="inlineStr">
        <is>
          <t>N</t>
        </is>
      </c>
    </row>
    <row r="43">
      <c r="A43" s="1" t="inlineStr">
        <is>
          <t>Default Laser Fluence (Energy Density)</t>
        </is>
      </c>
      <c r="B43" s="1" t="inlineStr">
        <is>
          <t>Laser pulse energy per unit area at the sample surface in J cm⁻². Fluence is the physically meaningful quantity controlling ablation rate, crater morphology, elemental fractionation, and particle size distribution. If the system reports only as % of maximum output, include that value and note the system maximum where known.</t>
        </is>
      </c>
      <c r="C43" s="5" t="inlineStr">
        <is>
          <t>Basic</t>
        </is>
      </c>
      <c r="D43" s="9" t="inlineStr">
        <is>
          <t>Editable</t>
        </is>
      </c>
      <c r="E43" s="1" t="inlineStr">
        <is>
          <t>Numeric (J cm⁻²)</t>
        </is>
      </c>
      <c r="F43" s="1" t="inlineStr">
        <is>
          <t>e.g., '3.5 J cm⁻²' | '7 J cm⁻²' | '60% output (PHAROS system, max ~15 J cm⁻²)'</t>
        </is>
      </c>
      <c r="G43" s="1" t="n"/>
      <c r="H43" s="7" t="inlineStr">
        <is>
          <t>Y</t>
        </is>
      </c>
      <c r="I43" s="7" t="inlineStr">
        <is>
          <t>Y</t>
        </is>
      </c>
      <c r="J43" s="7" t="inlineStr">
        <is>
          <t>Y</t>
        </is>
      </c>
      <c r="K43" s="1">
        <f>(14-COUNTIF(L43:Y43,"N"))/(14)</f>
        <v/>
      </c>
      <c r="L43" s="1" t="inlineStr">
        <is>
          <t>N (no fluence reported; energy density characterized as "sufficient to resolve Ge from background argide")</t>
        </is>
      </c>
      <c r="M43" s="1" t="inlineStr">
        <is>
          <t>5–7 J cm⁻²</t>
        </is>
      </c>
      <c r="N43" s="1" t="inlineStr">
        <is>
          <t>Run 1 (major): 4.72 J cm⁻²; Run 2 (trace): 4.72 J cm⁻²</t>
        </is>
      </c>
      <c r="O43" s="1" t="inlineStr">
        <is>
          <t>3.5 J cm⁻²</t>
        </is>
      </c>
      <c r="P43" s="1" t="inlineStr">
        <is>
          <t>2 J cm⁻²</t>
        </is>
      </c>
      <c r="Q43" s="1" t="inlineStr">
        <is>
          <t>~3 J cm⁻² (femtosecond ablation)</t>
        </is>
      </c>
      <c r="R43" s="1" t="inlineStr">
        <is>
          <t>N (parameters lost)</t>
        </is>
      </c>
      <c r="S43" s="1" t="inlineStr">
        <is>
          <t>12 J cm⁻²</t>
        </is>
      </c>
      <c r="T43" s="1" t="inlineStr">
        <is>
          <t>7 J cm⁻²</t>
        </is>
      </c>
      <c r="U43" s="1" t="inlineStr">
        <is>
          <t>7 J cm⁻²</t>
        </is>
      </c>
      <c r="V43" s="1" t="inlineStr">
        <is>
          <t>~60% of maximum output (PHAROS system; exact J cm⁻² not converted)</t>
        </is>
      </c>
      <c r="W43" s="1" t="inlineStr">
        <is>
          <t>6.79 J cm⁻²</t>
        </is>
      </c>
      <c r="X43" s="1" t="inlineStr">
        <is>
          <t>~2.5 J cm⁻² (stated as "energy of ~2.5 J/cm²")</t>
        </is>
      </c>
      <c r="Y43" s="1" t="inlineStr">
        <is>
          <t>~2.5 J cm⁻²</t>
        </is>
      </c>
    </row>
    <row r="44">
      <c r="A44" s="1" t="inlineStr">
        <is>
          <t>Laser Beam Energy Profile</t>
        </is>
      </c>
      <c r="B44"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44" s="10" t="inlineStr">
        <is>
          <t>Advanced</t>
        </is>
      </c>
      <c r="D44" s="9" t="inlineStr">
        <is>
          <t>Editable</t>
        </is>
      </c>
      <c r="E44" s="1" t="inlineStr">
        <is>
          <t>Controlled list / Text</t>
        </is>
      </c>
      <c r="F44" s="1" t="inlineStr">
        <is>
          <t>Flat-top (top-hat) — beam homogenizer installed | Gaussian — no beam homogenizer | Not stated</t>
        </is>
      </c>
      <c r="G44" s="1" t="n"/>
      <c r="H44" s="7" t="inlineStr">
        <is>
          <t>Y</t>
        </is>
      </c>
      <c r="I44" s="7" t="inlineStr">
        <is>
          <t>Y</t>
        </is>
      </c>
      <c r="J44" s="7" t="inlineStr">
        <is>
          <t>Y</t>
        </is>
      </c>
      <c r="K44" s="1">
        <f>(14-COUNTIF(L44:Y44,"N"))/(14)</f>
        <v/>
      </c>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Default Laser Repetition Rate</t>
        </is>
      </c>
      <c r="B45" s="1" t="inlineStr">
        <is>
          <t>Default laser pulse repetition rate in hertz. For mapping methods, repetition rate together with scan speed and spot size determines pixel size and spatial resolution. Analysts may adjust within protocol-allowed bounds.</t>
        </is>
      </c>
      <c r="C45" s="5" t="inlineStr">
        <is>
          <t>Basic</t>
        </is>
      </c>
      <c r="D45" s="9" t="inlineStr">
        <is>
          <t>Editable</t>
        </is>
      </c>
      <c r="E45" s="1" t="inlineStr">
        <is>
          <t>Numeric (Hz)</t>
        </is>
      </c>
      <c r="F45" s="1" t="inlineStr">
        <is>
          <t>e.g., 5 | 10 | 20 | 100</t>
        </is>
      </c>
      <c r="G45" s="1" t="n"/>
      <c r="H45" s="7" t="inlineStr">
        <is>
          <t>Y</t>
        </is>
      </c>
      <c r="I45" s="7" t="inlineStr">
        <is>
          <t>Y</t>
        </is>
      </c>
      <c r="J45" s="7" t="inlineStr">
        <is>
          <t>Y</t>
        </is>
      </c>
      <c r="K45" s="1">
        <f>(14-COUNTIF(L45:Y45,"N"))/(14)</f>
        <v/>
      </c>
      <c r="L45" s="1" t="inlineStr">
        <is>
          <t>Raster: 50 Hz; Spot (Ge): 50 Hz</t>
        </is>
      </c>
      <c r="M45" s="1" t="inlineStr">
        <is>
          <t>20 Hz</t>
        </is>
      </c>
      <c r="N45" s="1" t="inlineStr">
        <is>
          <t>Run 1 (major): 20 Hz; Run 2 (trace): 40 Hz</t>
        </is>
      </c>
      <c r="O45" s="1" t="inlineStr">
        <is>
          <t>20 Hz</t>
        </is>
      </c>
      <c r="P45" s="1" t="inlineStr">
        <is>
          <t>100–300 Hz (pixel acquisition rate; each laser shot individually triggers ToF)</t>
        </is>
      </c>
      <c r="Q45" s="1" t="inlineStr">
        <is>
          <t>10 Hz</t>
        </is>
      </c>
      <c r="R45" s="1" t="inlineStr">
        <is>
          <t>N (parameters lost)</t>
        </is>
      </c>
      <c r="S45" s="1" t="inlineStr">
        <is>
          <t>20 Hz</t>
        </is>
      </c>
      <c r="T45" s="1" t="inlineStr">
        <is>
          <t>10 Hz</t>
        </is>
      </c>
      <c r="U45" s="1" t="inlineStr">
        <is>
          <t>10 Hz</t>
        </is>
      </c>
      <c r="V45" s="1" t="inlineStr">
        <is>
          <t>10–30 Hz (varied based on Sr concentration in samples)</t>
        </is>
      </c>
      <c r="W45" s="1" t="inlineStr">
        <is>
          <t>1 Hz</t>
        </is>
      </c>
      <c r="X45" s="1" t="inlineStr">
        <is>
          <t>7 Hz</t>
        </is>
      </c>
      <c r="Y45" s="1" t="inlineStr">
        <is>
          <t>7 Hz</t>
        </is>
      </c>
    </row>
    <row r="46">
      <c r="A46" s="1" t="inlineStr">
        <is>
          <t>Laser Pulse Duration</t>
        </is>
      </c>
      <c r="B46"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46" s="10" t="inlineStr">
        <is>
          <t>Advanced</t>
        </is>
      </c>
      <c r="D46" s="9" t="inlineStr">
        <is>
          <t>Editable</t>
        </is>
      </c>
      <c r="E46" s="1" t="inlineStr">
        <is>
          <t>Text (free)</t>
        </is>
      </c>
      <c r="F46" s="1" t="inlineStr">
        <is>
          <t>e.g., '4 ns (ArF excimer)' | '20 ns' | '290 fs (Yb:KGW)' | '220 fs (Ti:sapphire)'</t>
        </is>
      </c>
      <c r="G46" s="1" t="n"/>
      <c r="H46" s="7" t="inlineStr">
        <is>
          <t>Y</t>
        </is>
      </c>
      <c r="I46" s="7" t="inlineStr">
        <is>
          <t>Y</t>
        </is>
      </c>
      <c r="J46" s="7" t="inlineStr">
        <is>
          <t>Y</t>
        </is>
      </c>
      <c r="K46" s="1">
        <f>(14-COUNTIF(L46:Y46,"N"))/(14)</f>
        <v/>
      </c>
      <c r="L46" s="1" t="inlineStr">
        <is>
          <t>N (UP193FX; ns solid-state; pulse duration not reported)</t>
        </is>
      </c>
      <c r="M46" s="1" t="inlineStr">
        <is>
          <t>~5 ns (ArF excimer)</t>
        </is>
      </c>
      <c r="N46" s="1" t="inlineStr">
        <is>
          <t>~5 ns (ArF excimer)</t>
        </is>
      </c>
      <c r="O46" s="1" t="inlineStr">
        <is>
          <t>~5 ns (ArF excimer)</t>
        </is>
      </c>
      <c r="P46" s="1" t="inlineStr">
        <is>
          <t>N (ArF excimer; ns; pulse duration not stated for Iridia)</t>
        </is>
      </c>
      <c r="Q46" s="1" t="inlineStr">
        <is>
          <t>290 fs (Yb:KGW femtosecond laser)</t>
        </is>
      </c>
      <c r="R46" s="1" t="inlineStr">
        <is>
          <t>N (parameters lost)</t>
        </is>
      </c>
      <c r="S46" s="1" t="inlineStr">
        <is>
          <t>~220 fs (Ti:sapphire IFRIT system)</t>
        </is>
      </c>
      <c r="T46" s="1" t="inlineStr">
        <is>
          <t>4 ns (ArF excimer Excite 193)</t>
        </is>
      </c>
      <c r="U46" s="1" t="inlineStr">
        <is>
          <t>4 ns (ArF excimer Excite 193)</t>
        </is>
      </c>
      <c r="V46" s="1" t="inlineStr">
        <is>
          <t>300 fs (Yb:KGW PHAROS femtosecond amplifier)</t>
        </is>
      </c>
      <c r="W46" s="1" t="inlineStr">
        <is>
          <t>Femtosecond (exact value not stated; GenesisGEO fs laser)</t>
        </is>
      </c>
      <c r="X46" s="1" t="inlineStr">
        <is>
          <t>N (ns; CetacAnalyte HE; pulse duration not reported)</t>
        </is>
      </c>
      <c r="Y46" s="1" t="inlineStr">
        <is>
          <t>N (ns; CetacAnalyte HE)</t>
        </is>
      </c>
    </row>
    <row r="47">
      <c r="A47" s="1" t="inlineStr">
        <is>
          <t>Ablation Duration per Spot</t>
        </is>
      </c>
      <c r="B47" s="1" t="inlineStr">
        <is>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is>
      </c>
      <c r="C47" s="5" t="inlineStr">
        <is>
          <t>Basic</t>
        </is>
      </c>
      <c r="D47" s="9" t="inlineStr">
        <is>
          <t>Editable</t>
        </is>
      </c>
      <c r="E47" s="1" t="inlineStr">
        <is>
          <t>Numeric (s)</t>
        </is>
      </c>
      <c r="F47" s="1" t="inlineStr">
        <is>
          <t>e.g., 40 s | 60 s | 90 s</t>
        </is>
      </c>
      <c r="G47" s="1" t="n"/>
      <c r="H47" s="7" t="inlineStr">
        <is>
          <t>Y</t>
        </is>
      </c>
      <c r="I47" s="11" t="inlineStr">
        <is>
          <t>N</t>
        </is>
      </c>
      <c r="J47" s="11" t="inlineStr">
        <is>
          <t>N</t>
        </is>
      </c>
      <c r="K47" s="1">
        <f>(14-COUNTIF(L47:Y47,"N"))/(14)</f>
        <v/>
      </c>
      <c r="L47" s="1" t="inlineStr">
        <is>
          <t>N/A (raster) / 20 s (spot Ge at 50 Hz)</t>
        </is>
      </c>
      <c r="M47" s="1" t="inlineStr">
        <is>
          <t>N/A (mapping mode)</t>
        </is>
      </c>
      <c r="N47" s="1" t="inlineStr">
        <is>
          <t>N/A (line scan run 1) / N/A (spot run 2 — duration set by 34 runs covering 400 µm + washout, not a fixed spot duration)</t>
        </is>
      </c>
      <c r="O47" s="1" t="inlineStr">
        <is>
          <t>20 s spot ablation (plus 10 s washout); 25 cycles acquisition</t>
        </is>
      </c>
      <c r="P47" s="1" t="inlineStr">
        <is>
          <t>N/A (mapping mode)</t>
        </is>
      </c>
      <c r="Q47" s="1" t="inlineStr">
        <is>
          <t>N/A (mapping mode)</t>
        </is>
      </c>
      <c r="R47" s="1" t="inlineStr">
        <is>
          <t>N (parameters lost)</t>
        </is>
      </c>
      <c r="S47" s="1" t="inlineStr">
        <is>
          <t>N</t>
        </is>
      </c>
      <c r="T47" s="1" t="inlineStr">
        <is>
          <t>40 s on-sample ablation (after 20 s background measurement)</t>
        </is>
      </c>
      <c r="U47" s="1" t="inlineStr">
        <is>
          <t>N/A (mapping mode)</t>
        </is>
      </c>
      <c r="V47" s="1" t="inlineStr">
        <is>
          <t>N/A (transect)</t>
        </is>
      </c>
      <c r="W47" s="1" t="inlineStr">
        <is>
          <t>45 s ablation (after 25 s gas blank; 25 s washout between analyses)</t>
        </is>
      </c>
      <c r="X47" s="1" t="inlineStr">
        <is>
          <t>~40 s (inferred from typical CetacAnalyte HE protocol for glass)</t>
        </is>
      </c>
      <c r="Y47" s="1" t="inlineStr">
        <is>
          <t>~40 s (same protocol; grain size &gt;20 µm selected)</t>
        </is>
      </c>
    </row>
    <row r="48">
      <c r="A48" s="1" t="inlineStr">
        <is>
          <t>Transect Rate, Mapping Rate or Step Size</t>
        </is>
      </c>
      <c r="B48" s="1" t="inlineStr">
        <is>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48" s="10" t="inlineStr">
        <is>
          <t>Advanced</t>
        </is>
      </c>
      <c r="D48" s="9" t="inlineStr">
        <is>
          <t>Editable</t>
        </is>
      </c>
      <c r="E48" s="1" t="inlineStr">
        <is>
          <t>Text (free)</t>
        </is>
      </c>
      <c r="F48" s="1" t="inlineStr">
        <is>
          <t>e.g., '5 µm s⁻¹ (transect)' | '9 µm s⁻¹ (raster mapping, 20×20 µm spot, 20 Hz)' | '20 µm step size' | '0.3–30 mm² h⁻¹ (mapping rate range)'</t>
        </is>
      </c>
      <c r="G48" s="1" t="n"/>
      <c r="H48" s="11" t="inlineStr">
        <is>
          <t>N</t>
        </is>
      </c>
      <c r="I48" s="7" t="inlineStr">
        <is>
          <t>Y</t>
        </is>
      </c>
      <c r="J48" s="7" t="inlineStr">
        <is>
          <t>Y</t>
        </is>
      </c>
      <c r="K48" s="1">
        <f>(14-COUNTIF(L48:Y48,"N"))/(14)</f>
        <v/>
      </c>
      <c r="L48" s="1" t="inlineStr">
        <is>
          <t>10 µm s⁻¹ (raster scan); N/A (spot Ge)</t>
        </is>
      </c>
      <c r="M48" s="1" t="inlineStr">
        <is>
          <t>9 µm s⁻¹ (continuous raster)</t>
        </is>
      </c>
      <c r="N48" s="1" t="inlineStr">
        <is>
          <t>10 µm s⁻¹ (line scan run 1); spot mode (run 2)</t>
        </is>
      </c>
      <c r="O48" s="1" t="inlineStr">
        <is>
          <t>N/A (spot mode)</t>
        </is>
      </c>
      <c r="P48" s="1" t="inlineStr">
        <is>
          <t>0.3–30 mm² h⁻¹ (mapping rate; scan speed varied to achieve target mapping rate)</t>
        </is>
      </c>
      <c r="Q48" s="1" t="inlineStr">
        <is>
          <t>2 µm s⁻¹ (continuous raster scan)</t>
        </is>
      </c>
      <c r="R48" s="1" t="inlineStr">
        <is>
          <t>N/A (spot mode)</t>
        </is>
      </c>
      <c r="S48" s="1" t="inlineStr">
        <is>
          <t>N/A (spot mode)</t>
        </is>
      </c>
      <c r="T48" s="1" t="inlineStr">
        <is>
          <t>N/A (spot mode)</t>
        </is>
      </c>
      <c r="U48" s="1" t="inlineStr">
        <is>
          <t>10 µm s⁻¹ (continuous raster scan)</t>
        </is>
      </c>
      <c r="V48" s="1" t="inlineStr">
        <is>
          <t>2–6 µm s⁻¹ (varied based on Sr concentration in target minerals)</t>
        </is>
      </c>
      <c r="W48" s="1" t="inlineStr">
        <is>
          <t>N/A (spot mode)</t>
        </is>
      </c>
      <c r="X48" s="1" t="inlineStr">
        <is>
          <t>N/A (spot mode)</t>
        </is>
      </c>
      <c r="Y48" s="1" t="inlineStr">
        <is>
          <t>N/A (spot mode)</t>
        </is>
      </c>
    </row>
    <row r="49">
      <c r="A49" s="1" t="inlineStr">
        <is>
          <t>Raster Line Spacing (Mapping Only)</t>
        </is>
      </c>
      <c r="B49"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49" s="5" t="inlineStr">
        <is>
          <t>Basic</t>
        </is>
      </c>
      <c r="D49" s="9" t="inlineStr">
        <is>
          <t>Editable</t>
        </is>
      </c>
      <c r="E49" s="1" t="inlineStr">
        <is>
          <t>Text (free)</t>
        </is>
      </c>
      <c r="F49" s="1" t="inlineStr">
        <is>
          <t>20 µm (contiguous, equal to spot size) | 15 µm pitch with 5 µm gap between lines | N/A (spot or line-scan mode)</t>
        </is>
      </c>
      <c r="G49" s="1" t="n"/>
      <c r="H49" s="11" t="inlineStr">
        <is>
          <t>N</t>
        </is>
      </c>
      <c r="I49" s="11" t="inlineStr">
        <is>
          <t>N</t>
        </is>
      </c>
      <c r="J49" s="7" t="inlineStr">
        <is>
          <t>Y</t>
        </is>
      </c>
      <c r="K49" s="1">
        <f>(14-COUNTIF(L49:Y49,"N"))/(14)</f>
        <v/>
      </c>
      <c r="L49" s="1" t="inlineStr">
        <is>
          <t>N (line spacing not explicitly stated; 50 µm spot scanned at 10 µm s⁻¹)</t>
        </is>
      </c>
      <c r="M49" s="1" t="inlineStr">
        <is>
          <t>20 µm (contiguous; 20×20 µm square spot = line spacing equals spot width)</t>
        </is>
      </c>
      <c r="N49" s="1" t="inlineStr">
        <is>
          <t>N/A (line scan + spot; not 2D mapping)</t>
        </is>
      </c>
      <c r="O49" s="1" t="inlineStr">
        <is>
          <t>N/A (spot mode)</t>
        </is>
      </c>
      <c r="P49" s="1" t="inlineStr">
        <is>
          <t>N/A not specified — pixel size determined by spot size (2/3/5 µm) and repetition rate (100–300 Hz)</t>
        </is>
      </c>
      <c r="Q49" s="1" t="inlineStr">
        <is>
          <t>15 µm pitch with 5 µm gaps between adjacent lines; gaps smoothed by averaging neighboring scan lines</t>
        </is>
      </c>
      <c r="R49" s="1" t="inlineStr">
        <is>
          <t>N/A (spot mode)</t>
        </is>
      </c>
      <c r="S49" s="1" t="inlineStr">
        <is>
          <t>N/A (spot mode)</t>
        </is>
      </c>
      <c r="T49" s="1" t="inlineStr">
        <is>
          <t>N/A (spot mode)</t>
        </is>
      </c>
      <c r="U49" s="1" t="inlineStr">
        <is>
          <t>N (line spacing not stated; 150 µm spot at 10 µm s⁻¹)</t>
        </is>
      </c>
      <c r="V49" s="1" t="inlineStr">
        <is>
          <t>N/A (transect — single line)</t>
        </is>
      </c>
      <c r="W49" s="1" t="inlineStr">
        <is>
          <t>N/A (spot mode)</t>
        </is>
      </c>
      <c r="X49" s="1" t="inlineStr">
        <is>
          <t>N/A (spot mode)</t>
        </is>
      </c>
      <c r="Y49" s="1" t="inlineStr">
        <is>
          <t>N/A (spot mode)</t>
        </is>
      </c>
    </row>
    <row r="50">
      <c r="A50" s="1" t="inlineStr">
        <is>
          <t>Carrier Gas and Default Flow Rate</t>
        </is>
      </c>
      <c r="B50" s="1" t="inlineStr">
        <is>
          <t>Gas used to transport ablated aerosol from the ablation cell to the ICP-MS torch, with target flow rate(s). Helium is standard for most UV laser systems due to superior aerosol transport. Flow rates are protocol targets; actual session values may be adjusted within ±10% during tuning.</t>
        </is>
      </c>
      <c r="C50" s="5" t="inlineStr">
        <is>
          <t>Basic</t>
        </is>
      </c>
      <c r="D50" s="9" t="inlineStr">
        <is>
          <t>Editable</t>
        </is>
      </c>
      <c r="E50" s="1" t="inlineStr">
        <is>
          <t>Text (free)</t>
        </is>
      </c>
      <c r="F50" s="1" t="inlineStr">
        <is>
          <t>e.g., 'He, 0.75 l min⁻¹' | 'He: MFC-1 (cell) 0.60 l min⁻¹ + MFC-2 (cup) 0.35 l min⁻¹'</t>
        </is>
      </c>
      <c r="G50" s="1" t="n"/>
      <c r="H50" s="7" t="inlineStr">
        <is>
          <t>Y</t>
        </is>
      </c>
      <c r="I50" s="7" t="inlineStr">
        <is>
          <t>Y</t>
        </is>
      </c>
      <c r="J50" s="7" t="inlineStr">
        <is>
          <t>Y</t>
        </is>
      </c>
      <c r="K50" s="1">
        <f>(14-COUNTIF(L50:Y50,"N"))/(14)</f>
        <v/>
      </c>
      <c r="L50" s="1" t="inlineStr">
        <is>
          <t>He (carrier gas stated; exact flow rate not reported)</t>
        </is>
      </c>
      <c r="M50" s="1" t="inlineStr">
        <is>
          <t>He: MFC-1 (cell) 0.200–0.260 l min⁻¹; MFC-2 (cup) 0.220–0.385 l min⁻¹</t>
        </is>
      </c>
      <c r="N50" s="1" t="inlineStr">
        <is>
          <t>He: MFC-1 0.19 l min⁻¹; MFC-2 0.22 l min⁻¹</t>
        </is>
      </c>
      <c r="O50" s="1" t="inlineStr">
        <is>
          <t>He: MFC-1 0.270 l min⁻¹; MFC-2 0.250 l min⁻¹</t>
        </is>
      </c>
      <c r="P50" s="1" t="inlineStr">
        <is>
          <t>He (low-dispersion tube-type cell; flow rate and ARIS delay tuned daily)</t>
        </is>
      </c>
      <c r="Q50" s="1" t="inlineStr">
        <is>
          <t>He, 0.6 l min⁻¹</t>
        </is>
      </c>
      <c r="R50" s="1" t="inlineStr">
        <is>
          <t>N (parameters lost)</t>
        </is>
      </c>
      <c r="S50" s="1" t="inlineStr">
        <is>
          <t>He, 0.6 l min⁻¹</t>
        </is>
      </c>
      <c r="T50" s="1" t="inlineStr">
        <is>
          <t>He: 0.6 l min⁻¹ (MFC 1) + 0.7 l min⁻¹ (MFC 2) in HelEx II cell; combined with Ar makeup via T-piece near torch</t>
        </is>
      </c>
      <c r="U50" s="1" t="inlineStr">
        <is>
          <t>He: 0.6 l min⁻¹ (MFC 1) + 0.7 l min⁻¹ (MFC 2) in HelEx II cell</t>
        </is>
      </c>
      <c r="V50" s="1" t="inlineStr">
        <is>
          <t>He, 0.90 l min⁻¹ (two-volume cell)</t>
        </is>
      </c>
      <c r="W50" s="1" t="inlineStr">
        <is>
          <t>He: 0.7 l min⁻¹ (chamber) + 0.1 l min⁻¹ (cup gas)</t>
        </is>
      </c>
      <c r="X50" s="1" t="inlineStr">
        <is>
          <t>He (flow rate not stated; carrier gas with N₂ or Ar mixed for sensitivity optimization)</t>
        </is>
      </c>
      <c r="Y50" s="1" t="inlineStr">
        <is>
          <t>He (flow rate not stated; same system as glass protocol)</t>
        </is>
      </c>
    </row>
    <row r="51">
      <c r="A51" s="1" t="inlineStr">
        <is>
          <t>Default Plasma / Make-up Gas Addition</t>
        </is>
      </c>
      <c r="B51" s="1" t="inlineStr">
        <is>
          <t>Additional gas(es) mixed into the carrier stream downstream of the ablation cell, with target flow rate. Ar make-up gas is standard. Small N₂ additions can enhance sensitivity for some elements. If N₂ is not added, state "None" explicitly to distinguish from not reported.</t>
        </is>
      </c>
      <c r="C51" s="10" t="inlineStr">
        <is>
          <t>Advanced</t>
        </is>
      </c>
      <c r="D51" s="9" t="inlineStr">
        <is>
          <t>Editable</t>
        </is>
      </c>
      <c r="E51" s="1" t="inlineStr">
        <is>
          <t>Text (free)</t>
        </is>
      </c>
      <c r="F51" s="1" t="inlineStr">
        <is>
          <t>e.g., 'Ar make-up gas, 0.95 l min⁻¹' | 'Ar make-up 0.80 l min⁻¹ + N₂ 2 ml min⁻¹ (sensitivity enhancement)' | 'None (no N₂ added)'</t>
        </is>
      </c>
      <c r="G51" s="1" t="n"/>
      <c r="H51" s="7" t="inlineStr">
        <is>
          <t>Y</t>
        </is>
      </c>
      <c r="I51" s="7" t="inlineStr">
        <is>
          <t>Y</t>
        </is>
      </c>
      <c r="J51" s="7" t="inlineStr">
        <is>
          <t>Y</t>
        </is>
      </c>
      <c r="K51" s="1">
        <f>(14-COUNTIF(L51:Y51,"N"))/(14)</f>
        <v/>
      </c>
      <c r="L51" s="1" t="inlineStr">
        <is>
          <t>Ar make-up gas (flow rate not stated)</t>
        </is>
      </c>
      <c r="M51" s="1" t="inlineStr">
        <is>
          <t>Ar make-up: 0.81–0.99 l min⁻¹ (mapping); N₂ explicitly not added</t>
        </is>
      </c>
      <c r="N51" s="1" t="inlineStr">
        <is>
          <t>Ar make-up: 0.947 l min⁻¹ (run 1 and run 2); N₂ not added</t>
        </is>
      </c>
      <c r="O51" s="1" t="inlineStr">
        <is>
          <t>Ar make-up: 0.96 l min⁻¹; N₂ not added</t>
        </is>
      </c>
      <c r="P51" s="1" t="inlineStr">
        <is>
          <t>N (ToF system; Ar make-up implied but not stated)</t>
        </is>
      </c>
      <c r="Q51" s="1" t="inlineStr">
        <is>
          <t>Ar make-up gas, 1.0 l min⁻¹ (added outside ablation cell)</t>
        </is>
      </c>
      <c r="R51" s="1" t="inlineStr">
        <is>
          <t>N (parameters lost)</t>
        </is>
      </c>
      <c r="S51" s="1" t="inlineStr">
        <is>
          <t>Ar make-up: 0.9–1.2 l min⁻¹; Ar auxiliary: 0.6–1.2 l min⁻¹</t>
        </is>
      </c>
      <c r="T51" s="1" t="inlineStr">
        <is>
          <t>Ar make-up gas (combined via T-piece in sample transport line near torch; flow rate not stated separately)</t>
        </is>
      </c>
      <c r="U51" s="1" t="inlineStr">
        <is>
          <t>Ar make-up gas (same as spot protocol)</t>
        </is>
      </c>
      <c r="V51" s="1" t="inlineStr">
        <is>
          <t>Ar make-up (flow rate not separately stated); N₂ 12 ml min⁻¹ added via Y-connector downstream of signal-smoothing device</t>
        </is>
      </c>
      <c r="W51" s="1" t="inlineStr">
        <is>
          <t>N (gas not separately specified beyond total plasma flow)</t>
        </is>
      </c>
      <c r="X51" s="1" t="inlineStr">
        <is>
          <t>N₂ or Ar mixed into He carrier for sensitivity optimization (amounts not stated)</t>
        </is>
      </c>
      <c r="Y51" s="1" t="inlineStr">
        <is>
          <t>N₂ or Ar mixed (same protocol as glass)</t>
        </is>
      </c>
    </row>
    <row r="52">
      <c r="A52" s="1" t="inlineStr">
        <is>
          <t>Default Auxiliary and Cool Gas Flow Rates</t>
        </is>
      </c>
      <c r="B52" s="1" t="inlineStr">
        <is>
          <t>ICP auxiliary (intermediate) and cool (outer/plasma) Ar gas flow rates in l min⁻¹. These are protocol targets; values may be adjusted slightly per session during tuning.</t>
        </is>
      </c>
      <c r="C52" s="10" t="inlineStr">
        <is>
          <t>Advanced</t>
        </is>
      </c>
      <c r="D52" s="9" t="inlineStr">
        <is>
          <t>Editable</t>
        </is>
      </c>
      <c r="E52" s="1" t="inlineStr">
        <is>
          <t>Text (free)</t>
        </is>
      </c>
      <c r="F52" s="1" t="inlineStr">
        <is>
          <t>e.g., 'Cool gas: 15 l min⁻¹ Ar; Auxiliary gas: 0.80 l min⁻¹ Ar' | 'Cool: 16 l min⁻¹; Auxiliary: 1.5 l min⁻¹'</t>
        </is>
      </c>
      <c r="G52" s="1" t="n"/>
      <c r="H52" s="7" t="inlineStr">
        <is>
          <t>Y</t>
        </is>
      </c>
      <c r="I52" s="7" t="inlineStr">
        <is>
          <t>Y</t>
        </is>
      </c>
      <c r="J52" s="7" t="inlineStr">
        <is>
          <t>Y</t>
        </is>
      </c>
      <c r="K52" s="1">
        <f>(14-COUNTIF(L52:Y52,"N"))/(14)</f>
        <v/>
      </c>
      <c r="L52" s="1" t="inlineStr">
        <is>
          <t>N</t>
        </is>
      </c>
      <c r="M52" s="1" t="inlineStr">
        <is>
          <t>Cool: 15 l min⁻¹ Ar; Auxiliary: 0.81 l min⁻¹ (mapping)</t>
        </is>
      </c>
      <c r="N52" s="1" t="inlineStr">
        <is>
          <t>Cool: 15 l min⁻¹ Ar; Auxiliary: 0.90 l min⁻¹ (run 1 and run 2)</t>
        </is>
      </c>
      <c r="O52" s="1" t="inlineStr">
        <is>
          <t>Cool: 15 l min⁻¹ Ar; Auxiliary: 0.85 l min⁻¹</t>
        </is>
      </c>
      <c r="P52" s="1" t="inlineStr">
        <is>
          <t>N</t>
        </is>
      </c>
      <c r="Q52" s="1" t="inlineStr">
        <is>
          <t>N (iCAP TQ standard conditions; not separately reported)</t>
        </is>
      </c>
      <c r="R52" s="1" t="inlineStr">
        <is>
          <t>N</t>
        </is>
      </c>
      <c r="S52" s="1" t="inlineStr">
        <is>
          <t>Cool gas: 12–13 l min⁻¹ Ar; Auxiliary: 0.6–1.2 l min⁻¹</t>
        </is>
      </c>
      <c r="T52" s="1" t="inlineStr">
        <is>
          <t>Plasma gas: 16 l min⁻¹; Auxiliary: 0.9 l min⁻¹; Nebulizer gas (from table): 1.1 l min⁻¹</t>
        </is>
      </c>
      <c r="U52" s="1" t="inlineStr">
        <is>
          <t>Plasma gas: 16 l min⁻¹; Auxiliary: 0.9 l min⁻¹</t>
        </is>
      </c>
      <c r="V52" s="1" t="inlineStr">
        <is>
          <t>Cool gas: 16.0 l min⁻¹ Ar; Auxiliary: 0.80 l min⁻¹ Ar</t>
        </is>
      </c>
      <c r="W52" s="1" t="inlineStr">
        <is>
          <t>Plasma gas flow: 15 l min⁻¹; Auxiliary gas: 0.85 l min⁻¹</t>
        </is>
      </c>
      <c r="X52" s="1" t="inlineStr">
        <is>
          <t>N</t>
        </is>
      </c>
      <c r="Y52" s="1" t="inlineStr">
        <is>
          <t>N</t>
        </is>
      </c>
    </row>
    <row r="53">
      <c r="A53" s="1" t="inlineStr">
        <is>
          <t>RF Power</t>
        </is>
      </c>
      <c r="B53" s="1" t="inlineStr">
        <is>
          <t>ICP radiofrequency forward power in watts. Fixed in the protocol; cannot be changed by analysts without defining a new protocol, because RF power affects plasma temperature, ionisation efficiency, oxide formation, and whether cool or normal plasma conditions are in effect.</t>
        </is>
      </c>
      <c r="C53" s="5" t="inlineStr">
        <is>
          <t>Basic</t>
        </is>
      </c>
      <c r="D53" s="6" t="inlineStr">
        <is>
          <t>Read-Only</t>
        </is>
      </c>
      <c r="E53" s="1" t="inlineStr">
        <is>
          <t>Numeric (W)</t>
        </is>
      </c>
      <c r="F53" s="1" t="inlineStr">
        <is>
          <t>e.g., 800 W | 1200 W | 1350 W | 1550 W</t>
        </is>
      </c>
      <c r="G53" s="1" t="n"/>
      <c r="H53" s="7" t="inlineStr">
        <is>
          <t>Y</t>
        </is>
      </c>
      <c r="I53" s="7" t="inlineStr">
        <is>
          <t>Y</t>
        </is>
      </c>
      <c r="J53" s="7" t="inlineStr">
        <is>
          <t>Y</t>
        </is>
      </c>
      <c r="K53" s="1">
        <f>(14-COUNTIF(L53:Y53,"N"))/(14)</f>
        <v/>
      </c>
      <c r="L53" s="1" t="inlineStr">
        <is>
          <t>N (not reported)</t>
        </is>
      </c>
      <c r="M53" s="1" t="inlineStr">
        <is>
          <t>800 W (cool plasma for mapping)</t>
        </is>
      </c>
      <c r="N53" s="1" t="inlineStr">
        <is>
          <t>1000 W (run 1 major elements + run 2 trace elements)</t>
        </is>
      </c>
      <c r="O53" s="1" t="inlineStr">
        <is>
          <t>1000 W</t>
        </is>
      </c>
      <c r="P53" s="1" t="inlineStr">
        <is>
          <t>N</t>
        </is>
      </c>
      <c r="Q53" s="1" t="inlineStr">
        <is>
          <t>1550 W</t>
        </is>
      </c>
      <c r="R53" s="1" t="inlineStr">
        <is>
          <t>N (parameters lost)</t>
        </is>
      </c>
      <c r="S53" s="1" t="inlineStr">
        <is>
          <t>1400 W</t>
        </is>
      </c>
      <c r="T53" s="1" t="inlineStr">
        <is>
          <t>1200 W</t>
        </is>
      </c>
      <c r="U53" s="1" t="inlineStr">
        <is>
          <t>1200 W</t>
        </is>
      </c>
      <c r="V53" s="1" t="inlineStr">
        <is>
          <t>1250 W</t>
        </is>
      </c>
      <c r="W53" s="1" t="inlineStr">
        <is>
          <t>1550 W</t>
        </is>
      </c>
      <c r="X53" s="1" t="inlineStr">
        <is>
          <t>N (Agilent 7900; standard conditions implied)</t>
        </is>
      </c>
      <c r="Y53" s="1" t="inlineStr">
        <is>
          <t>N (same instrument)</t>
        </is>
      </c>
    </row>
    <row r="54">
      <c r="A54" s="1" t="inlineStr">
        <is>
          <t>Plasma Thermal Mode</t>
        </is>
      </c>
      <c r="B54"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54" s="5" t="inlineStr">
        <is>
          <t>Basic</t>
        </is>
      </c>
      <c r="D54" s="6" t="inlineStr">
        <is>
          <t>Read-Only</t>
        </is>
      </c>
      <c r="E54" s="1" t="inlineStr">
        <is>
          <t>Controlled list</t>
        </is>
      </c>
      <c r="F54" s="1" t="inlineStr">
        <is>
          <t>Normal plasma (&gt;1000 W RF) | Cool plasma (≤900 W RF) | Mixed: specify mode per analytical sub-run</t>
        </is>
      </c>
      <c r="G54" s="1" t="n"/>
      <c r="H54" s="7" t="inlineStr">
        <is>
          <t>Y</t>
        </is>
      </c>
      <c r="I54" s="7" t="inlineStr">
        <is>
          <t>Y</t>
        </is>
      </c>
      <c r="J54" s="7" t="inlineStr">
        <is>
          <t>Y</t>
        </is>
      </c>
      <c r="K54" s="1">
        <f>(14-COUNTIF(L54:Y54,"N"))/(14)</f>
        <v/>
      </c>
      <c r="L54" s="1" t="inlineStr">
        <is>
          <t>Normal plasma (implied; no cool plasma mentioned)</t>
        </is>
      </c>
      <c r="M54" s="1" t="inlineStr">
        <is>
          <t>Cool plasma (800 W RF) to reduce Ar-based argide interferences on ⁶⁰Ni and ⁷¹Ga</t>
        </is>
      </c>
      <c r="N54" s="1" t="inlineStr">
        <is>
          <t>Normal plasma (1000 W RF)</t>
        </is>
      </c>
      <c r="O54" s="1" t="inlineStr">
        <is>
          <t>Normal plasma (1000 W RF)</t>
        </is>
      </c>
      <c r="P54" s="1" t="inlineStr">
        <is>
          <t>Normal plasma (ToF system; no cool plasma mentioned)</t>
        </is>
      </c>
      <c r="Q54" s="1" t="inlineStr">
        <is>
          <t>Normal plasma (1550 W; KED mode used instead of cool plasma for interference suppression)</t>
        </is>
      </c>
      <c r="R54" s="1" t="inlineStr">
        <is>
          <t>N (parameters lost; medium resolution mode implies normal plasma)</t>
        </is>
      </c>
      <c r="S54" s="1" t="inlineStr">
        <is>
          <t>Normal plasma (1400 W RF power)</t>
        </is>
      </c>
      <c r="T54" s="1" t="inlineStr">
        <is>
          <t>Normal plasma (1200 W RF)</t>
        </is>
      </c>
      <c r="U54" s="1" t="inlineStr">
        <is>
          <t>Normal plasma (1200 W RF)</t>
        </is>
      </c>
      <c r="V54" s="1" t="inlineStr">
        <is>
          <t>Normal plasma (1250 W RF)</t>
        </is>
      </c>
      <c r="W54" s="1" t="inlineStr">
        <is>
          <t>Normal plasma (1550 W RF)</t>
        </is>
      </c>
      <c r="X54" s="1" t="inlineStr">
        <is>
          <t>Normal plasma (implied)</t>
        </is>
      </c>
      <c r="Y54" s="1" t="inlineStr">
        <is>
          <t>Normal plasma (implied)</t>
        </is>
      </c>
    </row>
    <row r="55">
      <c r="A55" s="1" t="inlineStr">
        <is>
          <t>Signal Smoothing</t>
        </is>
      </c>
      <c r="B5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55" s="10" t="inlineStr">
        <is>
          <t>Advanced</t>
        </is>
      </c>
      <c r="D55" s="9" t="inlineStr">
        <is>
          <t>Editable</t>
        </is>
      </c>
      <c r="E55" s="1" t="inlineStr">
        <is>
          <t>Text (free)</t>
        </is>
      </c>
      <c r="F55" s="1" t="inlineStr">
        <is>
          <t>e.g., 'Squid 2.0 (laurin technik)' | 'ARIS (Aerosol Rapid Introduction System)' | 'None'</t>
        </is>
      </c>
      <c r="G55" s="1" t="n"/>
      <c r="H55" s="7" t="inlineStr">
        <is>
          <t>Y</t>
        </is>
      </c>
      <c r="I55" s="7" t="inlineStr">
        <is>
          <t>Y</t>
        </is>
      </c>
      <c r="J55" s="7" t="inlineStr">
        <is>
          <t>Y</t>
        </is>
      </c>
      <c r="K55" s="1">
        <f>(14-COUNTIF(L55:Y55,"N"))/(14)</f>
        <v/>
      </c>
      <c r="L55" s="1" t="inlineStr">
        <is>
          <t>N</t>
        </is>
      </c>
      <c r="M55" s="1" t="inlineStr">
        <is>
          <t>None (no signal smoothing device; N₂ not added)</t>
        </is>
      </c>
      <c r="N55" s="1" t="inlineStr">
        <is>
          <t>None</t>
        </is>
      </c>
      <c r="O55" s="1" t="inlineStr">
        <is>
          <t>None</t>
        </is>
      </c>
      <c r="P55" s="1" t="inlineStr">
        <is>
          <t>ARIS (Aerosol Rapid Introduction System; Teledyne Photon Machines) for signal pulse compression and fast aerosol transport</t>
        </is>
      </c>
      <c r="Q55" s="1" t="inlineStr">
        <is>
          <t>None (galvanometric scanning system; smoothing incompatible with high-spatial-resolution mapping)</t>
        </is>
      </c>
      <c r="R55" s="1" t="inlineStr">
        <is>
          <t>N (parameters lost)</t>
        </is>
      </c>
      <c r="S55" s="1" t="inlineStr">
        <is>
          <t>N</t>
        </is>
      </c>
      <c r="T55" s="1" t="inlineStr">
        <is>
          <t>None</t>
        </is>
      </c>
      <c r="U55" s="1" t="inlineStr">
        <is>
          <t>None</t>
        </is>
      </c>
      <c r="V55" s="1" t="inlineStr">
        <is>
          <t>Signal-smoothing device used downstream from ablation cell (model not specified); significantly reduced short-term signal variability</t>
        </is>
      </c>
      <c r="W55" s="1" t="inlineStr">
        <is>
          <t>None (femtosecond laser produces inherently smooth signals)</t>
        </is>
      </c>
      <c r="X55" s="1" t="inlineStr">
        <is>
          <t>N (CetacAnalyte HE; smoothing status not reported)</t>
        </is>
      </c>
      <c r="Y55" s="1" t="inlineStr">
        <is>
          <t>N</t>
        </is>
      </c>
    </row>
    <row r="56">
      <c r="A56" s="1" t="inlineStr">
        <is>
          <t>ICP Tuning</t>
        </is>
      </c>
      <c r="B56" s="1" t="inlineStr">
        <is>
          <t>Description of the approach used to optimise ICP plasma conditions prior to analysis, including the reference material used for tuning and the acceptance criteria (e.g., oxide production threshold, sensitivity targets, mass calibration).</t>
        </is>
      </c>
      <c r="C56" s="10" t="inlineStr">
        <is>
          <t>Advanced</t>
        </is>
      </c>
      <c r="D56" s="9" t="inlineStr">
        <is>
          <t>Editable</t>
        </is>
      </c>
      <c r="E56" s="1" t="inlineStr">
        <is>
          <t>Text (free)</t>
        </is>
      </c>
      <c r="F56" s="1" t="inlineStr">
        <is>
          <t>e.g., 'Daily auto-tune on NIST SRM 612; optimised for max sensitivity on ¹³⁹La and ²³²Th with ThO⁺/Th⁺ &lt;0.5% and U/Th = 1.0 ± 0.05'</t>
        </is>
      </c>
      <c r="G56" s="1" t="n"/>
      <c r="H56" s="7" t="inlineStr">
        <is>
          <t>Y</t>
        </is>
      </c>
      <c r="I56" s="7" t="inlineStr">
        <is>
          <t>Y</t>
        </is>
      </c>
      <c r="J56" s="7" t="inlineStr">
        <is>
          <t>Y</t>
        </is>
      </c>
      <c r="K56" s="1">
        <f>(14-COUNTIF(L56:Y56,"N"))/(14)</f>
        <v/>
      </c>
      <c r="L56" s="1" t="inlineStr">
        <is>
          <t>Daily optimization using NIST SRM 612 (or equivalent); optimized for sensitivity with low oxide production</t>
        </is>
      </c>
      <c r="M56" s="1" t="inlineStr">
        <is>
          <t>Daily tuning; cool plasma conditions optimized; N₂ explicitly not added to avoid N-based interferences</t>
        </is>
      </c>
      <c r="N56" s="1" t="inlineStr">
        <is>
          <t>Same instrument as mapping; tuning optimized per run (different RF power and resolution settings per run)</t>
        </is>
      </c>
      <c r="O56" s="1" t="inlineStr">
        <is>
          <t>Same instrument as olivine runs; tuned for normal plasma conditions</t>
        </is>
      </c>
      <c r="P56" s="1" t="inlineStr">
        <is>
          <t>Daily tuning of delay between laser trigger and aerosol arrival; notch filter calibration for Ar-based ions</t>
        </is>
      </c>
      <c r="Q56" s="1" t="inlineStr">
        <is>
          <t>Gas flow rates optimized to maximize REE sensitivity while maintaining ThO⁺/Th⁺ &lt;1%; KED He gas flow 4 ml min⁻¹ optimized</t>
        </is>
      </c>
      <c r="R56" s="1" t="inlineStr">
        <is>
          <t>N (parameters lost)</t>
        </is>
      </c>
      <c r="S56" s="1" t="inlineStr">
        <is>
          <t>N</t>
        </is>
      </c>
      <c r="T56" s="1" t="inlineStr">
        <is>
          <t>ICP and laser settings optimized daily for optimum signal intensity and low oxide formation (factory specifications; mass calibration and detector cross-calibration checked and redone if required)</t>
        </is>
      </c>
      <c r="U56" s="1" t="inlineStr">
        <is>
          <t>Same as spot protocol</t>
        </is>
      </c>
      <c r="V56" s="1" t="inlineStr">
        <is>
          <t>NIST 610 used to optimize He/Ar gas flows, torch position, RF power, and source lens settings for max sensitivity and peak flatness; small N₂ added downstream</t>
        </is>
      </c>
      <c r="W56" s="1" t="inlineStr">
        <is>
          <t>Gas flows optimized via spot ablation of NIST SRM 612 to obtain maximum signal intensities while maintaining ThO/Th &lt;0.3% and U/Th at 0.95–1.05</t>
        </is>
      </c>
      <c r="X56" s="1" t="inlineStr">
        <is>
          <t>N (standard daily optimization implied)</t>
        </is>
      </c>
      <c r="Y56" s="1" t="inlineStr">
        <is>
          <t>N</t>
        </is>
      </c>
    </row>
    <row r="57">
      <c r="A57" s="1" t="inlineStr">
        <is>
          <t>Oxide Production Method and Threshold</t>
        </is>
      </c>
      <c r="B57"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57" s="5" t="inlineStr">
        <is>
          <t>Basic</t>
        </is>
      </c>
      <c r="D57" s="6" t="inlineStr">
        <is>
          <t>Read-Only</t>
        </is>
      </c>
      <c r="E57" s="1" t="inlineStr">
        <is>
          <t>Text (free)</t>
        </is>
      </c>
      <c r="F57" s="1" t="inlineStr">
        <is>
          <t>e.g., 'ThO⁺/Th⁺ (248/232) &lt;0.5%' | 'ThO⁺/Th⁺ &lt;0.3%; UO⁺/U⁺ monitored at 0.95–1.05' | 'CeO⁺/Ce⁺ &lt;1.0%'</t>
        </is>
      </c>
      <c r="G57" s="1" t="n"/>
      <c r="H57" s="7" t="inlineStr">
        <is>
          <t>Y</t>
        </is>
      </c>
      <c r="I57" s="7" t="inlineStr">
        <is>
          <t>Y</t>
        </is>
      </c>
      <c r="J57" s="7" t="inlineStr">
        <is>
          <t>Y</t>
        </is>
      </c>
      <c r="K57" s="1">
        <f>(14-COUNTIF(L57:Y57,"N"))/(14)</f>
        <v/>
      </c>
      <c r="L57" s="1" t="inlineStr">
        <is>
          <t>N (not reported; no oxide proxy threshold stated)</t>
        </is>
      </c>
      <c r="M57" s="1" t="inlineStr">
        <is>
          <t>ThO⁺/Th⁺ (mass 248/232); threshold not explicitly stated but minimized by cool plasma</t>
        </is>
      </c>
      <c r="N57" s="1" t="inlineStr">
        <is>
          <t>N (normal plasma; no threshold stated for runs 1 and 2)</t>
        </is>
      </c>
      <c r="O57" s="1" t="inlineStr">
        <is>
          <t>N (normal plasma; no threshold stated)</t>
        </is>
      </c>
      <c r="P57" s="1" t="inlineStr">
        <is>
          <t>N (ToF system; notch filter for Ar ions)</t>
        </is>
      </c>
      <c r="Q57" s="1" t="inlineStr">
        <is>
          <t>ThO⁺/Th⁺ (mass 248/232) &lt;1% (monitored during tuning; KED He flow adjusted)</t>
        </is>
      </c>
      <c r="R57" s="1" t="inlineStr">
        <is>
          <t>N (parameters lost)</t>
        </is>
      </c>
      <c r="S57" s="1" t="inlineStr">
        <is>
          <t>N</t>
        </is>
      </c>
      <c r="T57" s="1" t="inlineStr">
        <is>
          <t>N (factory optimization criterion; exact threshold not stated)</t>
        </is>
      </c>
      <c r="U57" s="1" t="inlineStr">
        <is>
          <t>N (same as spot protocol)</t>
        </is>
      </c>
      <c r="V57" s="1" t="inlineStr">
        <is>
          <t>N</t>
        </is>
      </c>
      <c r="W57" s="1" t="inlineStr">
        <is>
          <t>ThO⁺/Th⁺ (mass 248/232) &lt;0.3%; U/Th monitored at 0.95–1.05</t>
        </is>
      </c>
      <c r="X57" s="1" t="inlineStr">
        <is>
          <t>N</t>
        </is>
      </c>
      <c r="Y57" s="1" t="inlineStr">
        <is>
          <t>N</t>
        </is>
      </c>
    </row>
    <row r="58">
      <c r="A58" s="1" t="inlineStr">
        <is>
          <t>Oxide Production</t>
        </is>
      </c>
      <c r="B58" s="1" t="inlineStr">
        <is>
          <t>Actual oxide production ratio measured during this analytical session, using the method specified in the protocol-level field "Oxide Production Method and Threshold". Report the measured value and confirm it met the protocol threshold.</t>
        </is>
      </c>
      <c r="C58" s="8" t="inlineStr">
        <is>
          <t>N/A</t>
        </is>
      </c>
      <c r="D58" s="5" t="inlineStr">
        <is>
          <t>Basic</t>
        </is>
      </c>
      <c r="E58" s="1" t="inlineStr">
        <is>
          <t>Text (free)</t>
        </is>
      </c>
      <c r="F58" s="1" t="inlineStr">
        <is>
          <t>e.g., 'ThO⁺/Th⁺ = 0.3% (threshold &lt;0.5% met)' | 'ThO⁺/Th⁺ = 0.08%' | 'CeO⁺/Ce⁺ = 0.7% (threshold &lt;1.0% met)'</t>
        </is>
      </c>
      <c r="G58" s="1" t="n"/>
      <c r="H58" s="7" t="inlineStr">
        <is>
          <t>Y</t>
        </is>
      </c>
      <c r="I58" s="7" t="inlineStr">
        <is>
          <t>Y</t>
        </is>
      </c>
      <c r="J58" s="7" t="inlineStr">
        <is>
          <t>Y</t>
        </is>
      </c>
      <c r="K58" s="1" t="n"/>
      <c r="L58" s="1" t="inlineStr">
        <is>
          <t>N</t>
        </is>
      </c>
      <c r="M58" s="1" t="inlineStr">
        <is>
          <t>N</t>
        </is>
      </c>
      <c r="N58" s="1" t="inlineStr">
        <is>
          <t>N</t>
        </is>
      </c>
      <c r="O58" s="1" t="inlineStr">
        <is>
          <t>N</t>
        </is>
      </c>
      <c r="P58" s="1" t="inlineStr">
        <is>
          <t>N</t>
        </is>
      </c>
      <c r="Q58" s="1" t="inlineStr">
        <is>
          <t>ThO⁺/Th⁺ &lt;1% (optimized during tuning as condition for gas flow optimization)</t>
        </is>
      </c>
      <c r="R58" s="1" t="inlineStr">
        <is>
          <t>N</t>
        </is>
      </c>
      <c r="S58" s="1" t="inlineStr">
        <is>
          <t>N</t>
        </is>
      </c>
      <c r="T58" s="1" t="inlineStr">
        <is>
          <t>N</t>
        </is>
      </c>
      <c r="U58" s="1" t="inlineStr">
        <is>
          <t>N</t>
        </is>
      </c>
      <c r="V58" s="1" t="inlineStr">
        <is>
          <t>N</t>
        </is>
      </c>
      <c r="W58" s="1" t="inlineStr">
        <is>
          <t>ThO/Th = measured at &lt;0.3%; U/Th = 0.95–1.05 (on NIST SRM 612)</t>
        </is>
      </c>
      <c r="X58" s="1" t="inlineStr">
        <is>
          <t>N</t>
        </is>
      </c>
      <c r="Y58" s="1" t="inlineStr">
        <is>
          <t>N</t>
        </is>
      </c>
    </row>
    <row r="59">
      <c r="A59" s="1" t="inlineStr">
        <is>
          <t>Instrument Warm-up / Session Duration Limit</t>
        </is>
      </c>
      <c r="B59" s="1" t="inlineStr">
        <is>
          <t>Minimum warm-up time required after plasma ignition before analyses begin, and any maximum session duration enforced to maintain stable operating conditions. These constraints are part of the protocol and cannot be varied by the analyst.</t>
        </is>
      </c>
      <c r="C59" s="10" t="inlineStr">
        <is>
          <t>Advanced</t>
        </is>
      </c>
      <c r="D59" s="6" t="inlineStr">
        <is>
          <t>Read-Only</t>
        </is>
      </c>
      <c r="E59" s="1" t="inlineStr">
        <is>
          <t>Text (free)</t>
        </is>
      </c>
      <c r="F59" s="1" t="inlineStr">
        <is>
          <t>e.g., '≥30 min warm-up after sample change; sessions ≤8 h after tuning' | '3–4 h warm-up; no session duration limit'</t>
        </is>
      </c>
      <c r="G59" s="1" t="n"/>
      <c r="H59" s="7" t="inlineStr">
        <is>
          <t>Y</t>
        </is>
      </c>
      <c r="I59" s="7" t="inlineStr">
        <is>
          <t>Y</t>
        </is>
      </c>
      <c r="J59" s="7" t="inlineStr">
        <is>
          <t>Y</t>
        </is>
      </c>
      <c r="K59" s="1">
        <f>(14-COUNTIF(L59:Y59,"N"))/(14)</f>
        <v/>
      </c>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Drift Monitor Frequency</t>
        </is>
      </c>
      <c r="B60" s="1" t="inlineStr">
        <is>
          <t>Frequency at which primary reference materials are analysed to monitor instrument drift and apply drift corrections across the session. Editable to allow analysts to increase monitoring frequency if drift is observed.</t>
        </is>
      </c>
      <c r="C60" s="10" t="inlineStr">
        <is>
          <t>Advanced</t>
        </is>
      </c>
      <c r="D60" s="9" t="inlineStr">
        <is>
          <t>Editable</t>
        </is>
      </c>
      <c r="E60" s="1" t="inlineStr">
        <is>
          <t>Text (free)</t>
        </is>
      </c>
      <c r="F60" s="1" t="inlineStr">
        <is>
          <t>e.g., 'Every 10 unknowns' | 'Start and end of session only' | 'Every 15–20 spot analyses; at start and end of each map for mapping'</t>
        </is>
      </c>
      <c r="G60" s="1" t="n"/>
      <c r="H60" s="7" t="inlineStr">
        <is>
          <t>Y</t>
        </is>
      </c>
      <c r="I60" s="7" t="inlineStr">
        <is>
          <t>Y</t>
        </is>
      </c>
      <c r="J60" s="7" t="inlineStr">
        <is>
          <t>Y</t>
        </is>
      </c>
      <c r="K60" s="1">
        <f>(14-COUNTIF(L60:Y60,"N"))/(14)</f>
        <v/>
      </c>
      <c r="L60" s="1" t="inlineStr">
        <is>
          <t>Standards at start and end of session; external bracketing</t>
        </is>
      </c>
      <c r="M60" s="1" t="inlineStr">
        <is>
          <t>Each GRM analyzed 3–5× before and 3–5× after sample analyses (all GRMs at start and end of session)</t>
        </is>
      </c>
      <c r="N60" s="1" t="inlineStr">
        <is>
          <t>Same as mapping protocol; GRMs at start and end</t>
        </is>
      </c>
      <c r="O60" s="1" t="inlineStr">
        <is>
          <t>MPI-DING and USGS GRMs measured at beginning and repeatedly at end of each session</t>
        </is>
      </c>
      <c r="P60" s="1" t="inlineStr">
        <is>
          <t>GRMs analyzed 3–5× before and 3–5× after samples in each session; 10 adjacent laser lines per GRM analysis</t>
        </is>
      </c>
      <c r="Q60" s="1" t="inlineStr">
        <is>
          <t>Reference materials (NIST SRM 612 for REEs; mineral references for MEs) measured under same conditions at start and end of each area</t>
        </is>
      </c>
      <c r="R60" s="1" t="inlineStr">
        <is>
          <t>N (parameters lost)</t>
        </is>
      </c>
      <c r="S60" s="1" t="inlineStr">
        <is>
          <t>N</t>
        </is>
      </c>
      <c r="T60" s="1" t="inlineStr">
        <is>
          <t>NIST SRM 612 and North Chile measured bracketing every 15 unknowns: 3×STD → 3×STD → 10×unknowns → repeat</t>
        </is>
      </c>
      <c r="U60" s="1" t="inlineStr">
        <is>
          <t>NIST SRM 612 and North Chile at start and end of mapping session (30 min map; 3 measurements each before and after)</t>
        </is>
      </c>
      <c r="V60" s="1" t="inlineStr">
        <is>
          <t>N (no explicit drift correction described; external calibration with reference glasses provides correction)</t>
        </is>
      </c>
      <c r="W60" s="1" t="inlineStr">
        <is>
          <t>NIST SRM 612 and 614 measured as external standards within session; BHVO-2 and other GRMs as unknowns</t>
        </is>
      </c>
      <c r="X60" s="1" t="inlineStr">
        <is>
          <t>NIST 610 as primary; NIST 612 and BCR-2G as monitoring standards</t>
        </is>
      </c>
      <c r="Y60" s="1" t="inlineStr">
        <is>
          <t>Same bracketing as silicate glass protocol</t>
        </is>
      </c>
    </row>
    <row r="61">
      <c r="A61" s="1" t="inlineStr">
        <is>
          <t>Analysis Sequence</t>
        </is>
      </c>
      <c r="B61" s="1" t="inlineStr">
        <is>
          <t>Repeating order of primary calibration standard(s), quality control standard(s), and unknown analyses within a measurement session. Editable to allow minor adjustments while maintaining the bracketing strategy defined in the protocol.</t>
        </is>
      </c>
      <c r="C61" s="5" t="inlineStr">
        <is>
          <t>Basic</t>
        </is>
      </c>
      <c r="D61" s="9" t="inlineStr">
        <is>
          <t>Editable</t>
        </is>
      </c>
      <c r="E61" s="1" t="inlineStr">
        <is>
          <t>Text (free)</t>
        </is>
      </c>
      <c r="F61" s="1" t="inlineStr">
        <is>
          <t>e.g., '1 primary std / 1 QC / 10 unknowns' | '2/4/15' | 'Calibration at start and end; unknowns in between'</t>
        </is>
      </c>
      <c r="G61" s="1" t="n"/>
      <c r="H61" s="7" t="inlineStr">
        <is>
          <t>Y</t>
        </is>
      </c>
      <c r="I61" s="7" t="inlineStr">
        <is>
          <t>Y</t>
        </is>
      </c>
      <c r="J61" s="7" t="inlineStr">
        <is>
          <t>Y</t>
        </is>
      </c>
      <c r="K61" s="1">
        <f>(14-COUNTIF(L61:Y61,"N"))/(14)</f>
        <v/>
      </c>
      <c r="L61" s="1" t="inlineStr">
        <is>
          <t>Standards at start of session → raster unknowns → repeat → standards at end; separate session for Ge spot analyses</t>
        </is>
      </c>
      <c r="M61" s="1" t="inlineStr">
        <is>
          <t>(i) Gas blanks → (ii) all glass GRMs for external calibration → (iii) 1–3 cosmic spherule unknowns → (iv) blanks → (v) all glass GRMs again</t>
        </is>
      </c>
      <c r="N61" s="1" t="inlineStr">
        <is>
          <t>GRM block (3–5×) → unknowns → GRM block (3–5×); same structure for run 1 and run 2</t>
        </is>
      </c>
      <c r="O61" s="1" t="inlineStr">
        <is>
          <t>MPI-DING and USGS GRMs at beginning → unknowns → repeated GRM at end</t>
        </is>
      </c>
      <c r="P61" s="1" t="inlineStr">
        <is>
          <t>(i) Gas blanks → (ii) all glass GRMs → (iii) 1–3 CS samples → (iv) blanks → (v) all glass GRMs again</t>
        </is>
      </c>
      <c r="Q61" s="1" t="inlineStr">
        <is>
          <t>Reference materials analyzed under same conditions before and after mapping of each FG area</t>
        </is>
      </c>
      <c r="R61" s="1" t="inlineStr">
        <is>
          <t>BCR-2g, BHVO-2g, BIR-1g measured as calibration standards; Marjalahti as in-session control</t>
        </is>
      </c>
      <c r="S61" s="1" t="inlineStr">
        <is>
          <t>IVB meteorite standards (Warburton Range external + Tawallah Valley secondary) measured alongside unknowns; exact bracketing not described</t>
        </is>
      </c>
      <c r="T61" s="1" t="inlineStr">
        <is>
          <t>NIST SRM 612(×3) → North Chile(×3) → unknowns(×10) → NIST SRM 612(×2) → North Chile(×2) → unknowns(×10) → … (bracketing every 15)</t>
        </is>
      </c>
      <c r="U61" s="1" t="inlineStr">
        <is>
          <t>Background (1 min) → NIST SRM 612(×3) → North Chile(×3) → unknown map (30 min) → North Chile(×3) → NIST SRM 612(×3) → background</t>
        </is>
      </c>
      <c r="V61" s="1" t="inlineStr">
        <is>
          <t>14 reference glasses analyzed to evaluate accuracy and provide calibration factors; natural minerals as unknowns for data quality evaluation; 1 block of 120 cycles per analysis</t>
        </is>
      </c>
      <c r="W61" s="1" t="inlineStr">
        <is>
          <t>Gas blank (25 s) → ablation (45 s) → washout (25 s); NIST 612 and 614 as external standards; BHVO-2 and 6 GRMs measured as unknowns</t>
        </is>
      </c>
      <c r="X61" s="1" t="inlineStr">
        <is>
          <t>NIST 610 as primary standard measured in session; NIST 612 and BCR-2G as monitoring standards; unknowns bracketed by standards</t>
        </is>
      </c>
      <c r="Y61" s="1" t="inlineStr">
        <is>
          <t>Same bracketing as silicate glass protocol</t>
        </is>
      </c>
    </row>
    <row r="62">
      <c r="A62" s="1" t="inlineStr">
        <is>
          <t>Target Analyte</t>
        </is>
      </c>
      <c r="B62" s="1" t="inlineStr">
        <is>
          <t>Range of isotopes this protocol is designed to measure. Defines the scope of the protocol and enables matching of protocols to analytical needs. Distinguished from Analyte (analysis-level field), which records the specific isotopes actually measured in a given session, which may be a subset of the target analytes.</t>
        </is>
      </c>
      <c r="C62" s="5" t="inlineStr">
        <is>
          <t>Basic</t>
        </is>
      </c>
      <c r="D62" s="8" t="inlineStr">
        <is>
          <t>N/A</t>
        </is>
      </c>
      <c r="E62" s="1" t="inlineStr">
        <is>
          <t>Text (free)</t>
        </is>
      </c>
      <c r="F62" s="1" t="inlineStr">
        <is>
          <t>e.g., 'Major elements: ²⁵Mg, ²⁸Si, ⁴⁴Ca, ⁵⁷Fe; Trace elements: ⁴⁵Sc, ⁵¹V, ⁵³Cr ... ²³⁸U' | 'All REE: ¹³⁹La–¹⁷⁵Lu'</t>
        </is>
      </c>
      <c r="G62" s="1" t="inlineStr">
        <is>
          <t>Analyte specific</t>
        </is>
      </c>
      <c r="H62" s="7" t="inlineStr">
        <is>
          <t>Y</t>
        </is>
      </c>
      <c r="I62" s="7" t="inlineStr">
        <is>
          <t>Y</t>
        </is>
      </c>
      <c r="J62" s="7" t="inlineStr">
        <is>
          <t>Y</t>
        </is>
      </c>
      <c r="K62" s="1">
        <f>(14-COUNTIF(L62:Y62,"N"))/(14)</f>
        <v/>
      </c>
      <c r="L6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M62" s="1" t="inlineStr">
        <is>
          <t>²⁵Mg, ²⁷Al, ²⁹Si, ³¹P, ⁴⁵Sc, ⁵¹V, ⁵³Cr, ⁵⁵Mn, ⁵⁷Fe, ⁶⁰Ni, ⁷¹Ga, ¹³⁹La, ¹⁵³Eu, ¹⁹⁵Pt (14 nuclides)</t>
        </is>
      </c>
      <c r="N6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O6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P62" s="1" t="inlineStr">
        <is>
          <t>²³Na to ²³⁸U (full periodic table, m/z 23–238); quasi-simultaneous ToF acquisition</t>
        </is>
      </c>
      <c r="Q62" s="1" t="inlineStr">
        <is>
          <t>²³Na, ²⁴Mg, ²⁷Al, ²⁹Si, ³⁵Cl, ⁴⁴Ca, ⁴⁷Ti, ⁵⁷Fe (8 MEs) + ¹³⁹La, ¹⁴⁰Ce, ¹⁴⁶Nd, ¹⁴⁷Sm, ¹⁵³Eu, ¹⁵⁷Gd, ¹⁶³Dy, ¹⁶⁵Ho, ¹⁶⁶Er, ¹⁶⁹Tm, ¹⁷²Yb, ¹⁷⁵Lu (12 REEs; Pr and Tb excluded to keep total dwell time &lt;1 s)</t>
        </is>
      </c>
      <c r="R62" s="1" t="inlineStr">
        <is>
          <t>²⁵Mg, ²⁷Al, ³¹P, ⁴³Ca, ⁴⁴Ca, ⁴⁵Sc, ⁴⁷Ti, ⁴⁹Ti, ⁵¹V, ⁵²Cr, ⁵³Cr, ⁵⁹Co, ⁶⁰Ni, ⁶¹Ni, ⁶²Ni, ⁶⁴Zn, ⁶⁶Zn, ⁶⁹Ga, ⁷¹Ga (19 nuclides)</t>
        </is>
      </c>
      <c r="S62" s="1" t="inlineStr">
        <is>
          <t>⁵⁹Co, ¹⁰¹Ru, ¹⁰³Rh, ¹⁰⁵Pd, ¹⁸⁵Re, ¹⁸⁹Os, ¹⁹³Ir, ¹⁹⁵Pt, ¹⁹⁷Au (9 HSE isotopes); ²⁴Mg, ²⁹Si, ³¹P, ³³S monitored for inclusion detection; ⁶¹Ni as internal standard</t>
        </is>
      </c>
      <c r="T62" s="1" t="inlineStr">
        <is>
          <t>⁵²Cr, ⁵⁷Fe, ⁵⁹Co, ⁶¹Ni, ⁶⁵Cu, ⁶⁹Ga, ⁷²Ge, ⁷⁵As, ⁹⁹Ru, ¹⁰³Rh, ¹⁰⁵Pd, ¹⁸²W, ¹⁸⁵Re, ¹⁸⁹Os, ¹⁹³Ir, ¹⁹⁵Pt, ¹⁹⁷Au (17 isotopes); low relative abundance isotopes chosen for Ni and Fe (analog mode)</t>
        </is>
      </c>
      <c r="U62" s="1" t="inlineStr">
        <is>
          <t>⁵²Cr, ⁵⁷Fe, ⁵⁹Co, ⁶¹Ni, ⁶⁵Cu, ⁶⁹Ga, ⁷²Ge, ⁷⁵As, ⁹⁹Ru, ¹⁰³Rh, ¹⁰⁵Pd, ¹⁸²W, ¹⁸⁵Re, ¹⁸⁹Os, ¹⁹³Ir, ¹⁹⁵Pt, ¹⁹⁷Au (same 17 isotopes as spot protocol)</t>
        </is>
      </c>
      <c r="V62" s="1" t="inlineStr">
        <is>
          <t>L4 (⁸³Kr), L3 (¹⁶⁷Er²⁺), L2 (⁸⁴Sr), L1 (⁸⁵Rb), C (⁸⁶Sr), H1 (¹⁷³Yb²⁺), H2 (⁸⁷Sr), H3 (⁸⁸Sr) (7 cups monitoring Kr, Rb, Er, Yb, Sr)</t>
        </is>
      </c>
      <c r="W62"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X62" s="1" t="inlineStr">
        <is>
          <t>¹⁹⁷Au, ⁶³Cu (primary targets); all detected via Agilent 7900 (exact isotope list not fully stated)</t>
        </is>
      </c>
      <c r="Y62" s="1" t="inlineStr">
        <is>
          <t>¹⁹⁷Au, ⁶³Cu (primary targets; Si and Fe from EMP as internal standards)</t>
        </is>
      </c>
    </row>
    <row r="63">
      <c r="A63" s="1" t="inlineStr">
        <is>
          <t>Analyte</t>
        </is>
      </c>
      <c r="B63" s="1" t="inlineStr">
        <is>
          <t>Specific isotopes (mass/charge) actually measured in this analysis session. May be a subset of the protocol's Target Analytes if certain masses were excluded due to interference issues or detector limitations in this session. Report as isotope notation with mass number.</t>
        </is>
      </c>
      <c r="C63" s="8" t="inlineStr">
        <is>
          <t>N/A</t>
        </is>
      </c>
      <c r="D63" s="5" t="inlineStr">
        <is>
          <t>Basic</t>
        </is>
      </c>
      <c r="E63" s="1" t="inlineStr">
        <is>
          <t>Text (free)</t>
        </is>
      </c>
      <c r="F63" s="1" t="inlineStr">
        <is>
          <t>e.g., '²⁵Mg, ²⁹Si, ⁴³Ca, ⁴⁵Sc, ⁵¹V, ⁵³Cr, ⁵⁵Mn, ⁵⁷Fe, ⁵⁹Co, ⁶⁰Ni, ⁶³Cu, ⁶⁶Zn, ⁸⁵Rb, ⁸⁸Sr ... ²³⁸U'</t>
        </is>
      </c>
      <c r="G63" s="1" t="inlineStr">
        <is>
          <t>Analyte specific</t>
        </is>
      </c>
      <c r="H63" s="7" t="inlineStr">
        <is>
          <t>Y</t>
        </is>
      </c>
      <c r="I63" s="7" t="inlineStr">
        <is>
          <t>Y</t>
        </is>
      </c>
      <c r="J63" s="7" t="inlineStr">
        <is>
          <t>Y</t>
        </is>
      </c>
      <c r="K63" s="1" t="n"/>
      <c r="L63" s="1" t="inlineStr">
        <is>
          <t>N</t>
        </is>
      </c>
      <c r="M63" s="1" t="inlineStr">
        <is>
          <t>N</t>
        </is>
      </c>
      <c r="N63" s="1" t="inlineStr">
        <is>
          <t>N</t>
        </is>
      </c>
      <c r="O63" s="1" t="inlineStr">
        <is>
          <t>N</t>
        </is>
      </c>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row>
    <row r="64">
      <c r="A64" s="1" t="inlineStr">
        <is>
          <t>Spectrometer Dwell Time</t>
        </is>
      </c>
      <c r="B64"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64" s="5" t="inlineStr">
        <is>
          <t>Basic</t>
        </is>
      </c>
      <c r="D64" s="9" t="inlineStr">
        <is>
          <t>Editable</t>
        </is>
      </c>
      <c r="E64" s="1" t="inlineStr">
        <is>
          <t>Text (free)</t>
        </is>
      </c>
      <c r="F64" s="1" t="inlineStr">
        <is>
          <t>e.g., 6 ms (most isotopes); 35 ms (¹⁴⁷Sm, ¹⁵³Eu, ¹⁵⁸Gd for REE work)</t>
        </is>
      </c>
      <c r="G64" s="1" t="inlineStr">
        <is>
          <t>Analyte specific</t>
        </is>
      </c>
      <c r="H64" s="7" t="inlineStr">
        <is>
          <t>Y</t>
        </is>
      </c>
      <c r="I64" s="7" t="inlineStr">
        <is>
          <t>Y</t>
        </is>
      </c>
      <c r="J64" s="7" t="inlineStr">
        <is>
          <t>Y</t>
        </is>
      </c>
      <c r="K64" s="1">
        <f>(14-COUNTIF(L64:Y64,"N"))/(14)</f>
        <v/>
      </c>
      <c r="L64" s="1" t="inlineStr">
        <is>
          <t>N (dwell times not reported)</t>
        </is>
      </c>
      <c r="M64" s="1" t="inlineStr">
        <is>
          <t>0.01 s (10 ms) per nuclide; samples per peak: 10; duty cycle time: 1.944 s (14 nuclides)</t>
        </is>
      </c>
      <c r="N64" s="1" t="inlineStr">
        <is>
          <t>Run 1 (major): 0.01 s per nuclide; samples per peak: 18; duty cycle: 2.069 s; Run 2 (trace): 0.01 s per nuclide; samples per peak: 7; duty cycle: 2.062 s</t>
        </is>
      </c>
      <c r="O64" s="1" t="inlineStr">
        <is>
          <t>0.01 s per nuclide; samples per peak: 5; duty cycle: 1.813 s; mass window 150% for ²³Na–⁴⁷Ti, 100% for all other nuclides</t>
        </is>
      </c>
      <c r="P64" s="1" t="inlineStr">
        <is>
          <t>N/A — ToF acquires full spectrum simultaneously; base integration time 46 ms; 60+ spectra aggregated per readout (100–300 Hz pixel rate → 68–206 spectra per pixel)</t>
        </is>
      </c>
      <c r="Q64" s="1" t="inlineStr">
        <is>
          <t>0.05 s (50 ms) per isotope for all monitored masses (20 isotopes total)</t>
        </is>
      </c>
      <c r="R64" s="1" t="inlineStr">
        <is>
          <t>N (parameters lost; 10–50 ms varies by isotope per paper text)</t>
        </is>
      </c>
      <c r="S64" s="1" t="inlineStr">
        <is>
          <t>N</t>
        </is>
      </c>
      <c r="T64" s="1" t="inlineStr">
        <is>
          <t>0.02 s per isotope; 100 samples per peak; 10 runs; 60 passes; total measurement time 120 s per analysis</t>
        </is>
      </c>
      <c r="U64" s="1" t="inlineStr">
        <is>
          <t>0.02 s per isotope; 100 samples per peak (same as spot protocol)</t>
        </is>
      </c>
      <c r="V64" s="1" t="inlineStr">
        <is>
          <t>0.524 s integration time per cycle (one block of 120 cycles = 62.88 s total)</t>
        </is>
      </c>
      <c r="W64" s="1" t="inlineStr">
        <is>
          <t>30 ms (most isotopes) / 10 ms (alternate; dual detector mode)</t>
        </is>
      </c>
      <c r="X64" s="1" t="inlineStr">
        <is>
          <t>N</t>
        </is>
      </c>
      <c r="Y64" s="1" t="inlineStr">
        <is>
          <t>N</t>
        </is>
      </c>
    </row>
    <row r="65">
      <c r="A65" s="1" t="inlineStr">
        <is>
          <t>Background Count Time</t>
        </is>
      </c>
      <c r="B6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65" s="5" t="inlineStr">
        <is>
          <t>Basic</t>
        </is>
      </c>
      <c r="D65" s="9" t="inlineStr">
        <is>
          <t>Editable</t>
        </is>
      </c>
      <c r="E65" s="1" t="inlineStr">
        <is>
          <t>Numeric (s)</t>
        </is>
      </c>
      <c r="F65" s="1" t="inlineStr">
        <is>
          <t>e.g., '30 s (spot/transect)' | '10 s per raster line (mapping)' | '25 s (one gas blank map per GRM at session start)'</t>
        </is>
      </c>
      <c r="G65" s="1" t="n"/>
      <c r="H65" s="7" t="inlineStr">
        <is>
          <t>Y</t>
        </is>
      </c>
      <c r="I65" s="7" t="inlineStr">
        <is>
          <t>Y</t>
        </is>
      </c>
      <c r="J65" s="7" t="inlineStr">
        <is>
          <t>Y</t>
        </is>
      </c>
      <c r="K65" s="1">
        <f>(14-COUNTIF(L65:Y65,"N"))/(14)</f>
        <v/>
      </c>
      <c r="L65" s="1" t="inlineStr">
        <is>
          <t>N (gas blank measured before analyses but duration not reported)</t>
        </is>
      </c>
      <c r="M65" s="1" t="inlineStr">
        <is>
          <t>Scans for gas blank: 10 per line (before each mapping line); 80 scans during ablation</t>
        </is>
      </c>
      <c r="N65" s="1" t="inlineStr">
        <is>
          <t>Run 1: 5 gas blank scans; 24 ablation scans; Run 2: 5 gas blank scans; 24 ablation scans</t>
        </is>
      </c>
      <c r="O65" s="1" t="inlineStr">
        <is>
          <t>8 gas blank scans; 11 ablation scans (25 cycles measurement: 15 s blank + 20 s ablation + 10 s washout)</t>
        </is>
      </c>
      <c r="P65" s="1" t="inlineStr">
        <is>
          <t>Gas blank map (10 adjacent lines with laser shutter closed) acquired for each GRM at start of session</t>
        </is>
      </c>
      <c r="Q65" s="1" t="inlineStr">
        <is>
          <t>Background measured at start of each line scan area; washout time ~3 s between areas</t>
        </is>
      </c>
      <c r="R65" s="1" t="inlineStr">
        <is>
          <t>N (parameters lost; gas blank measured before each analysis per paper text)</t>
        </is>
      </c>
      <c r="S65" s="1" t="inlineStr">
        <is>
          <t>N</t>
        </is>
      </c>
      <c r="T65" s="1" t="inlineStr">
        <is>
          <t>20 s background measurement (laser shutter closed) before each 40 s ablation</t>
        </is>
      </c>
      <c r="U65" s="1" t="inlineStr">
        <is>
          <t>60 s background measurement before mapping session start; 3 measurements each for NIST and North Chile after background</t>
        </is>
      </c>
      <c r="V65" s="1" t="inlineStr">
        <is>
          <t>30 cycles × 0.524 s ≈ 15.7 s (first 30 cycles of the 120-cycle block with no laser ablation)</t>
        </is>
      </c>
      <c r="W65" s="1" t="inlineStr">
        <is>
          <t>25 s gas blank before each ablation</t>
        </is>
      </c>
      <c r="X65" s="1" t="inlineStr">
        <is>
          <t>N (gas blank measured but duration not explicitly stated)</t>
        </is>
      </c>
      <c r="Y65" s="1" t="inlineStr">
        <is>
          <t>N</t>
        </is>
      </c>
    </row>
    <row r="66">
      <c r="A66" s="1" t="inlineStr">
        <is>
          <t>Multi-Run Sequential Analysis Design</t>
        </is>
      </c>
      <c r="B66" s="1" t="inlineStr">
        <is>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66" s="10" t="inlineStr">
        <is>
          <t>Advanced</t>
        </is>
      </c>
      <c r="D66" s="6" t="inlineStr">
        <is>
          <t>Read-Only</t>
        </is>
      </c>
      <c r="E66" s="1" t="inlineStr">
        <is>
          <t>Text (free)</t>
        </is>
      </c>
      <c r="F66" s="1" t="inlineStr">
        <is>
          <t>e.g., Single run | Two sequential runs: run 1 (major elements, 30 µm circular, medium resolution) → run 2 (trace elements, 130 µm circular, low resolution; Cr from run 1 as IS) | Pre-ablation pass + single acquisition run</t>
        </is>
      </c>
      <c r="G66" s="1" t="n"/>
      <c r="H66" s="7" t="inlineStr">
        <is>
          <t>Y</t>
        </is>
      </c>
      <c r="I66" s="7" t="inlineStr">
        <is>
          <t>Y</t>
        </is>
      </c>
      <c r="J66" s="11" t="inlineStr">
        <is>
          <t>N</t>
        </is>
      </c>
      <c r="K66" s="1">
        <f>(14-COUNTIF(L66:Y66,"N"))/(14)</f>
        <v/>
      </c>
      <c r="L66" s="1" t="inlineStr">
        <is>
          <t>N (single raster acquisition; Ge spot separate session)</t>
        </is>
      </c>
      <c r="M66" s="1" t="inlineStr">
        <is>
          <t>N/A (mapping; no sequential multi-run)</t>
        </is>
      </c>
      <c r="N66"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O66" s="1" t="inlineStr">
        <is>
          <t>Single spot analysis run per location (25 cycles: 15 s blank + 20 s ablation + 10 s washout); 3 replicates</t>
        </is>
      </c>
      <c r="P66" s="1" t="inlineStr">
        <is>
          <t>N/A (mapping)</t>
        </is>
      </c>
      <c r="Q66" s="1" t="inlineStr">
        <is>
          <t>N/A (mapping)</t>
        </is>
      </c>
      <c r="R66" s="1" t="inlineStr">
        <is>
          <t>Single spot per location (75 µm circular)</t>
        </is>
      </c>
      <c r="S66" s="1" t="inlineStr">
        <is>
          <t>Single spot per location (30 µm circular)</t>
        </is>
      </c>
      <c r="T66" s="1" t="inlineStr">
        <is>
          <t>Single acquisition run (20 spot analyses per sample under repeatability conditions)</t>
        </is>
      </c>
      <c r="U66" s="1" t="inlineStr">
        <is>
          <t>N/A (mapping)</t>
        </is>
      </c>
      <c r="V66" s="1" t="inlineStr">
        <is>
          <t>Single line scan per location (1 block of 120 cycles at 0.524 s integration)</t>
        </is>
      </c>
      <c r="W66" s="1" t="inlineStr">
        <is>
          <t>Single spot per location (45 s ablation at 1 Hz)</t>
        </is>
      </c>
      <c r="X66" s="1" t="inlineStr">
        <is>
          <t>Single spot per location (~40 s ablation at 7 Hz)</t>
        </is>
      </c>
      <c r="Y66" s="1" t="inlineStr">
        <is>
          <t>Single spot per location (sulfides; same acquisition parameters as glass but 20 µm spot)</t>
        </is>
      </c>
    </row>
    <row r="67">
      <c r="A67" s="1" t="inlineStr">
        <is>
          <t>Analysis Location/Spot Coordinates</t>
        </is>
      </c>
      <c r="B6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67" s="8" t="inlineStr">
        <is>
          <t>N/A</t>
        </is>
      </c>
      <c r="D67" s="5" t="inlineStr">
        <is>
          <t>Basic</t>
        </is>
      </c>
      <c r="E67" s="1" t="inlineStr">
        <is>
          <t>Text (free)</t>
        </is>
      </c>
      <c r="F67" s="1" t="inlineStr">
        <is>
          <t>e.g., 'X = 12350 µm, Y = 8760 µm (stage coordinates)' | '500 µm from metal-olivine rim toward core' | 'Map centre: X=15000, Y=9000 µm; area: 1450×600 µm'</t>
        </is>
      </c>
      <c r="G67" s="1" t="n"/>
      <c r="H67" s="7" t="inlineStr">
        <is>
          <t>Y</t>
        </is>
      </c>
      <c r="I67" s="7" t="inlineStr">
        <is>
          <t>Y</t>
        </is>
      </c>
      <c r="J67" s="7" t="inlineStr">
        <is>
          <t>Y</t>
        </is>
      </c>
      <c r="K67" s="1" t="n"/>
      <c r="L67" s="1" t="inlineStr">
        <is>
          <t>N</t>
        </is>
      </c>
      <c r="M67" s="1" t="inlineStr">
        <is>
          <t>N</t>
        </is>
      </c>
      <c r="N67" s="1" t="inlineStr">
        <is>
          <t>N</t>
        </is>
      </c>
      <c r="O67" s="1" t="inlineStr">
        <is>
          <t>N</t>
        </is>
      </c>
      <c r="P67" s="1" t="inlineStr">
        <is>
          <t>N</t>
        </is>
      </c>
      <c r="Q67" s="1" t="inlineStr">
        <is>
          <t>N</t>
        </is>
      </c>
      <c r="R67" s="1" t="inlineStr">
        <is>
          <t>N</t>
        </is>
      </c>
      <c r="S67" s="1" t="inlineStr">
        <is>
          <t>N</t>
        </is>
      </c>
      <c r="T67" s="1" t="inlineStr">
        <is>
          <t>N</t>
        </is>
      </c>
      <c r="U67" s="1" t="inlineStr">
        <is>
          <t>N</t>
        </is>
      </c>
      <c r="V67" s="1" t="inlineStr">
        <is>
          <t>N</t>
        </is>
      </c>
      <c r="W67" s="1" t="inlineStr">
        <is>
          <t>N</t>
        </is>
      </c>
      <c r="X67" s="1" t="inlineStr">
        <is>
          <t>N</t>
        </is>
      </c>
      <c r="Y67" s="1" t="inlineStr">
        <is>
          <t>N</t>
        </is>
      </c>
    </row>
    <row r="68">
      <c r="A68" s="1" t="inlineStr">
        <is>
          <t>Number of Replicates</t>
        </is>
      </c>
      <c r="B68"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68" s="8" t="inlineStr">
        <is>
          <t>N/A</t>
        </is>
      </c>
      <c r="D68" s="5" t="inlineStr">
        <is>
          <t>Basic</t>
        </is>
      </c>
      <c r="E68" s="1" t="inlineStr">
        <is>
          <t>Integer</t>
        </is>
      </c>
      <c r="F68" s="1" t="inlineStr">
        <is>
          <t>e.g., 3 (three replicate spots per grain) | 1 (single transect) | 1 (single map)</t>
        </is>
      </c>
      <c r="G68" s="1" t="n"/>
      <c r="H68" s="7" t="inlineStr">
        <is>
          <t>Y</t>
        </is>
      </c>
      <c r="I68" s="7" t="inlineStr">
        <is>
          <t>Y</t>
        </is>
      </c>
      <c r="J68" s="7" t="inlineStr">
        <is>
          <t>Y</t>
        </is>
      </c>
      <c r="K68" s="1" t="n"/>
      <c r="L68" s="1" t="inlineStr">
        <is>
          <t>N (number not stated explicitly; multiple irons analyzed)</t>
        </is>
      </c>
      <c r="M68" s="1" t="inlineStr">
        <is>
          <t>N (single map per olivine crystal section per sample)</t>
        </is>
      </c>
      <c r="N68" s="1" t="inlineStr">
        <is>
          <t>3 replicate analyses per grain (3× run 1 + 3× run 2 on same location)</t>
        </is>
      </c>
      <c r="O68" s="1" t="inlineStr">
        <is>
          <t>Multiple phosphate grains per meteorite; number varies by section</t>
        </is>
      </c>
      <c r="P68" s="1" t="inlineStr">
        <is>
          <t>N (1 to 3 CSs per session; mapping of 5 micrometeorites total)</t>
        </is>
      </c>
      <c r="Q68" s="1" t="inlineStr">
        <is>
          <t>2–5 areas mapped per FG (single pass per area)</t>
        </is>
      </c>
      <c r="R68" s="1" t="inlineStr">
        <is>
          <t>N (variable number of spots per sample)</t>
        </is>
      </c>
      <c r="S68" s="1" t="inlineStr">
        <is>
          <t>N (variable number of spots per grain; Mg, Si, P, S monitored to check for inclusions)</t>
        </is>
      </c>
      <c r="T68" s="1" t="inlineStr">
        <is>
          <t>20 spot analyses per meteorite under repeatability conditions; additional measurements on different days</t>
        </is>
      </c>
      <c r="U68" s="1" t="inlineStr">
        <is>
          <t>1 map per meteorite (single 30-min mapping acquisition)</t>
        </is>
      </c>
      <c r="V68" s="1" t="inlineStr">
        <is>
          <t>N (variable; 12–30 analyses per mineral phase per meteorite)</t>
        </is>
      </c>
      <c r="W68" s="1" t="inlineStr">
        <is>
          <t>9 spot analyses in grid pattern for homogeneity testing; multiple analyses per fusion glass disk</t>
        </is>
      </c>
      <c r="X68" s="1" t="inlineStr">
        <is>
          <t>N (variable per run)</t>
        </is>
      </c>
      <c r="Y68" s="1" t="inlineStr">
        <is>
          <t>N (grain size &gt;20 µm selected; number of analyzed grains variable)</t>
        </is>
      </c>
    </row>
    <row r="69">
      <c r="A69" s="1" t="inlineStr">
        <is>
          <t>Transect Length</t>
        </is>
      </c>
      <c r="B69" s="1" t="inlineStr">
        <is>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is>
      </c>
      <c r="C69" s="8" t="inlineStr">
        <is>
          <t>N/A</t>
        </is>
      </c>
      <c r="D69" s="5" t="inlineStr">
        <is>
          <t>Basic</t>
        </is>
      </c>
      <c r="E69" s="1" t="inlineStr">
        <is>
          <t>Numeric (µm)</t>
        </is>
      </c>
      <c r="F69" s="1" t="inlineStr">
        <is>
          <t>e.g., 500 µm | 1200 µm | 3000 µm</t>
        </is>
      </c>
      <c r="G69" s="1" t="n"/>
      <c r="H69" s="11" t="inlineStr">
        <is>
          <t>N</t>
        </is>
      </c>
      <c r="I69" s="7" t="inlineStr">
        <is>
          <t>Y</t>
        </is>
      </c>
      <c r="J69" s="11" t="inlineStr">
        <is>
          <t>N</t>
        </is>
      </c>
      <c r="K69" s="1" t="n"/>
      <c r="L69" s="1" t="inlineStr">
        <is>
          <t>N/A</t>
        </is>
      </c>
      <c r="M69" s="1" t="inlineStr">
        <is>
          <t>N/A</t>
        </is>
      </c>
      <c r="N69" s="1" t="inlineStr">
        <is>
          <t>Line scan length: 400 µm (runs 1 and 2; 34 runs adjusted to measure 400 µm line + blank + washout)</t>
        </is>
      </c>
      <c r="O69" s="1" t="inlineStr">
        <is>
          <t>N/A</t>
        </is>
      </c>
      <c r="P69" s="1" t="inlineStr">
        <is>
          <t>N/A</t>
        </is>
      </c>
      <c r="Q69" s="1" t="inlineStr">
        <is>
          <t>N/A</t>
        </is>
      </c>
      <c r="R69" s="1" t="inlineStr">
        <is>
          <t>N/A</t>
        </is>
      </c>
      <c r="S69" s="1" t="inlineStr">
        <is>
          <t>N/A</t>
        </is>
      </c>
      <c r="T69" s="1" t="inlineStr">
        <is>
          <t>N/A</t>
        </is>
      </c>
      <c r="U69" s="1" t="inlineStr">
        <is>
          <t>N/A</t>
        </is>
      </c>
      <c r="V69" s="1" t="inlineStr">
        <is>
          <t>Variable; analyses of plagioclase, pyroxene, glass in two lunar meteorites (NWA 10597 and NWA 6950); line length varies by mineral grain size</t>
        </is>
      </c>
      <c r="W69" s="1" t="inlineStr">
        <is>
          <t>N/A</t>
        </is>
      </c>
      <c r="X69" s="1" t="inlineStr">
        <is>
          <t>N/A</t>
        </is>
      </c>
      <c r="Y69" s="1" t="inlineStr">
        <is>
          <t>N/A</t>
        </is>
      </c>
    </row>
    <row r="70">
      <c r="A70" s="1" t="inlineStr">
        <is>
          <t>Mapping Area</t>
        </is>
      </c>
      <c r="B70" s="1" t="inlineStr">
        <is>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is>
      </c>
      <c r="C70" s="8" t="inlineStr">
        <is>
          <t>N/A</t>
        </is>
      </c>
      <c r="D70" s="5" t="inlineStr">
        <is>
          <t>Basic</t>
        </is>
      </c>
      <c r="E70" s="1" t="inlineStr">
        <is>
          <t>Text (free)</t>
        </is>
      </c>
      <c r="F70" s="1" t="inlineStr">
        <is>
          <t>e.g., '1450×600 µm (870,000 µm²)' | '200×200 µm' | '0.5 mm²'</t>
        </is>
      </c>
      <c r="G70" s="1" t="n"/>
      <c r="H70" s="11" t="inlineStr">
        <is>
          <t>N</t>
        </is>
      </c>
      <c r="I70" s="11" t="inlineStr">
        <is>
          <t>N</t>
        </is>
      </c>
      <c r="J70" s="7" t="inlineStr">
        <is>
          <t>Y</t>
        </is>
      </c>
      <c r="K70" s="1" t="n"/>
      <c r="L70" s="1" t="inlineStr">
        <is>
          <t>Raster over "a few millimeters" of polished iron slab surface (area not precisely stated)</t>
        </is>
      </c>
      <c r="M70" s="1" t="inlineStr">
        <is>
          <t>Each map: 1450×600 µm = 870,000 µm²; total of 8 PMG olivines mapped</t>
        </is>
      </c>
      <c r="N70" s="1" t="inlineStr">
        <is>
          <t>N/A (line scan + spot; not 2D raster)</t>
        </is>
      </c>
      <c r="O70" s="1" t="inlineStr">
        <is>
          <t>N/A</t>
        </is>
      </c>
      <c r="P70" s="1" t="inlineStr">
        <is>
          <t>N/A</t>
        </is>
      </c>
      <c r="Q70" s="1" t="inlineStr">
        <is>
          <t>Areas ranging from 200×200 µm² to 300×300 µm²; 2–5 areas per FG inclusion</t>
        </is>
      </c>
      <c r="R70" s="1" t="inlineStr">
        <is>
          <t>N/A</t>
        </is>
      </c>
      <c r="S70" s="1" t="inlineStr">
        <is>
          <t>N/A</t>
        </is>
      </c>
      <c r="T70" s="1" t="inlineStr">
        <is>
          <t>N/A</t>
        </is>
      </c>
      <c r="U70" s="1" t="inlineStr">
        <is>
          <t>Augusto Pestana: 30 min mapping session (area not explicitly stated; 150 µm spot at 10 µm s⁻¹)</t>
        </is>
      </c>
      <c r="V70" s="1" t="inlineStr">
        <is>
          <t>N/A</t>
        </is>
      </c>
      <c r="W70" s="1" t="inlineStr">
        <is>
          <t>N/A</t>
        </is>
      </c>
      <c r="X70" s="1" t="inlineStr">
        <is>
          <t>N/A</t>
        </is>
      </c>
      <c r="Y70" s="1" t="inlineStr">
        <is>
          <t>N/A</t>
        </is>
      </c>
    </row>
    <row r="71" ht="8" customHeight="1"/>
    <row r="72">
      <c r="A72" s="4" t="inlineStr">
        <is>
          <t>5. Data Processing</t>
        </is>
      </c>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c r="A73" s="1" t="inlineStr">
        <is>
          <t>Internal Standard Approach</t>
        </is>
      </c>
      <c r="B73" s="1" t="inlineStr">
        <is>
          <t>Method used to determine the internal standard (IS) concentration for each unknown sample, used to correct for variable ablation yield between analyses. The approach is a fundamental protocol design choice that cannot be changed by analysts.</t>
        </is>
      </c>
      <c r="C73" s="5" t="inlineStr">
        <is>
          <t>Basic</t>
        </is>
      </c>
      <c r="D73" s="6" t="inlineStr">
        <is>
          <t>Read-Only</t>
        </is>
      </c>
      <c r="E73" s="1" t="inlineStr">
        <is>
          <t>Text (free)</t>
        </is>
      </c>
      <c r="F73" s="1" t="inlineStr">
        <is>
          <t>e.g., 'Single element from EPMA (SiO₂ wt% used as IS)' | 'Sum-of-major-oxide normalization to 100% (Liu et al. 2008)' | 'Stoichiometry-derived (Ca fixed at 10.1 wt% for calcite)' | 'No IS — external calibration only'</t>
        </is>
      </c>
      <c r="G73" s="1" t="n"/>
      <c r="H73" s="7" t="inlineStr">
        <is>
          <t>Y</t>
        </is>
      </c>
      <c r="I73" s="7" t="inlineStr">
        <is>
          <t>Y</t>
        </is>
      </c>
      <c r="J73" s="7" t="inlineStr">
        <is>
          <t>Y</t>
        </is>
      </c>
      <c r="K73" s="1">
        <f>(14-COUNTIF(L73:Y73,"N"))/(14)</f>
        <v/>
      </c>
      <c r="L73" s="1" t="inlineStr">
        <is>
          <t>No conventional internal standard; Fe+Ni+Co sum normalization to 100% (for most irons) — external calibration using iron meteorite standards; elemental fractionation corrected by multi-point external calibration</t>
        </is>
      </c>
      <c r="M73" s="1" t="inlineStr">
        <is>
          <t>Sum-of-major-oxide normalization: MgO+FeO+SiO₂+P₂O₅ = 100 wt% per pixel (Liu et al. 2008 approach; no EPMA required for IS)</t>
        </is>
      </c>
      <c r="N73" s="1" t="inlineStr">
        <is>
          <t>Run 1 (major elements): sum-of-oxide normalization (MgO+FeO+SiO₂+P₂O₅=100 wt%; Liu et al. 2008); Run 2 (trace elements): single element IS from Run 1 (⁵³Cr concentration from major element run used as IS for trace element run)</t>
        </is>
      </c>
      <c r="O73" s="1" t="inlineStr">
        <is>
          <t>Sum-of-major-oxide normalization to 100 wt% (Liu et al. 2008; Appendix C3)</t>
        </is>
      </c>
      <c r="P73" s="1" t="inlineStr">
        <is>
          <t>Sum normalization of all element oxide mass fractions to 100%; multi-point external calibration against natural glass GRMs</t>
        </is>
      </c>
      <c r="Q73" s="1" t="inlineStr">
        <is>
          <t>100% oxide sum normalization of 7 MEs (NaO, MgO, Al₂O₃, SiO₂, CaO, TiO₂, FeO) + Cl⁻; depth correction for ablation volume differences using LEICA DVM5000 digital microscope measurements</t>
        </is>
      </c>
      <c r="R73" s="1" t="inlineStr">
        <is>
          <t>Single element from EPMA: ²⁵Mg (SiO₂ from EPMA used as indexing element for quantification; preferred values from GeoReM)</t>
        </is>
      </c>
      <c r="S73" s="1" t="inlineStr">
        <is>
          <t>Single element externally measured by EPMA: ⁶¹Ni concentration from EPMA at exact analysis location used as IS</t>
        </is>
      </c>
      <c r="T73" s="1" t="inlineStr">
        <is>
          <t>Fe+Ni+Co sum normalization to 100% using iolite 3D Trace Elements DRS (eliminates need for independent EPMA IS)</t>
        </is>
      </c>
      <c r="U73" s="1" t="inlineStr">
        <is>
          <t>Fe+Ni+Co sum normalization to 100% (same DRS as spot protocol; mandatory for multi-phase mapping without prior IS knowledge)</t>
        </is>
      </c>
      <c r="V73" s="1" t="inlineStr">
        <is>
          <t>No conventional IS; external calibration only (Rb/Sr elemental fractionation corrected by series of reference glasses; 87Sr/86Sr mass bias corrected by exponential law using 88Sr/86Sr = 8.37521)</t>
        </is>
      </c>
      <c r="W73" s="1" t="inlineStr">
        <is>
          <t>Two internal standards: Si from XRF SiO₂ (for Co, Ni, Cu, Zn); Al from XRF Al₂O₃ (for all other trace elements); non-matrix-matched external standards (NIST 612 + 614) used; fs laser minimizes matrix effects</t>
        </is>
      </c>
      <c r="X73" s="1" t="inlineStr">
        <is>
          <t>Single element from EMP: Si (SiO₂ from EMP for silicate glass); NIST 610 as external standard</t>
        </is>
      </c>
      <c r="Y73" s="1" t="inlineStr">
        <is>
          <t>Single element from EMP: Fe (FeOT from EMP for sulfide); NIST 610 as external standard</t>
        </is>
      </c>
    </row>
    <row r="74">
      <c r="A74" s="1" t="inlineStr">
        <is>
          <t>Internal Standard Element</t>
        </is>
      </c>
      <c r="B74" s="1" t="inlineStr">
        <is>
          <t>Element(s) used as the internal standard, and how the IS concentration value was determined for unknown samples. For mapping protocols using oxide-sum normalization, report "None (oxide-sum normalization)" and cite the method reference.</t>
        </is>
      </c>
      <c r="C74" s="5" t="inlineStr">
        <is>
          <t>Basic</t>
        </is>
      </c>
      <c r="D74" s="6" t="inlineStr">
        <is>
          <t>Read-Only</t>
        </is>
      </c>
      <c r="E74" s="1" t="inlineStr">
        <is>
          <t>Text (free)</t>
        </is>
      </c>
      <c r="F74" s="1" t="inlineStr">
        <is>
          <t>e.g., '²⁹Si; SiO₂ wt% from EPMA' | '⁵³Cr; measured in preceding major-element run (run 1)' | 'None — sum of MgO+FeO+SiO₂+P₂O₅ = 100 wt% (Liu et al. 2008)'</t>
        </is>
      </c>
      <c r="G74" s="1" t="n"/>
      <c r="H74" s="7" t="inlineStr">
        <is>
          <t>Y</t>
        </is>
      </c>
      <c r="I74" s="7" t="inlineStr">
        <is>
          <t>Y</t>
        </is>
      </c>
      <c r="J74" s="7" t="inlineStr">
        <is>
          <t>Y</t>
        </is>
      </c>
      <c r="K74" s="1">
        <f>(14-COUNTIF(L74:Y74,"N"))/(14)</f>
        <v/>
      </c>
      <c r="L74" s="1" t="inlineStr">
        <is>
          <t>No single IS; Fe+Ni+Co=100% sum normalization (equivalent to virtual IS)</t>
        </is>
      </c>
      <c r="M74" s="1" t="inlineStr">
        <is>
          <t>No single IS element; oxide sum normalization (MgO+FeO+SiO₂+P₂O₅) used as virtual IS per pixel</t>
        </is>
      </c>
      <c r="N74" s="1" t="inlineStr">
        <is>
          <t>Run 1: No single IS; oxide sum normalization; Run 2: ⁵³Cr (concentration from Run 1 major-element analysis on 30 µm spot used as IS for 130 µm spot trace element run)</t>
        </is>
      </c>
      <c r="O74" s="1" t="inlineStr">
        <is>
          <t>No single IS; oxide sum normalization to 100 wt%</t>
        </is>
      </c>
      <c r="P74" s="1" t="inlineStr">
        <is>
          <t>No single IS element; full 100% oxide sum normalization across all detected elements; gas blank included in regression (forced through zero)</t>
        </is>
      </c>
      <c r="Q74" s="1" t="inlineStr">
        <is>
          <t>No single IS; 100% oxide sum normalization (7 MEs + Cl) with volume correction (depth measured by digital microscope for each material type)</t>
        </is>
      </c>
      <c r="R74" s="1" t="inlineStr">
        <is>
          <t>²⁵Mg; MgO wt% from EPMA used as standardizing value (indexing element)</t>
        </is>
      </c>
      <c r="S74" s="1" t="inlineStr">
        <is>
          <t>⁶¹Ni; concentration from EPMA measured at exact analysis spot location</t>
        </is>
      </c>
      <c r="T74" s="1" t="inlineStr">
        <is>
          <t>No single IS; Fe+Ni+Co mass fractions normalized to 100% via iolite 3D DRS (yield correction factors applied for NIST SRM 612 relative to North Chile)</t>
        </is>
      </c>
      <c r="U74" s="1" t="inlineStr">
        <is>
          <t>No single IS; Fe+Ni+Co=100% normalization (same as spot protocol)</t>
        </is>
      </c>
      <c r="V74" s="1" t="inlineStr">
        <is>
          <t>No conventional IS; ⁸⁵Rb used to calculate ⁸⁷Rb/⁸⁶Sr via 87Rb/85Rb; external calibration for Rb/Sr elemental fractionation using reference glasses</t>
        </is>
      </c>
      <c r="W74" s="1" t="inlineStr">
        <is>
          <t>Si (SiO₂ from XRF) for Co, Ni, Cu, Zn; Al (Al₂O₃ from XRF) for all other 28 trace elements</t>
        </is>
      </c>
      <c r="X74" s="1" t="inlineStr">
        <is>
          <t>Si from EMP (SiO₂ wt% for silicate glass)</t>
        </is>
      </c>
      <c r="Y74" s="1" t="inlineStr">
        <is>
          <t>Fe from EMP (FeOT wt% for sulfide)</t>
        </is>
      </c>
    </row>
    <row r="75">
      <c r="A75" s="1" t="inlineStr">
        <is>
          <t>Elemental Fractionation Correction</t>
        </is>
      </c>
      <c r="B7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75" s="5" t="inlineStr">
        <is>
          <t>Basic</t>
        </is>
      </c>
      <c r="D75" s="6" t="inlineStr">
        <is>
          <t>Read-Only</t>
        </is>
      </c>
      <c r="E75" s="1" t="inlineStr">
        <is>
          <t>Text (free)</t>
        </is>
      </c>
      <c r="F75" s="1" t="inlineStr">
        <is>
          <t>e.g., 'Normalised to NIST SRM 612; no additional downhole correction' | 'Exponential downhole fractionation correction in Iolite using NIST SRM 612' | 'Linear time-drift correction applied per analysis'</t>
        </is>
      </c>
      <c r="G75" s="1" t="n"/>
      <c r="H75" s="7" t="inlineStr">
        <is>
          <t>Y</t>
        </is>
      </c>
      <c r="I75" s="7" t="inlineStr">
        <is>
          <t>Y</t>
        </is>
      </c>
      <c r="J75" s="7" t="inlineStr">
        <is>
          <t>Y</t>
        </is>
      </c>
      <c r="K75" s="1">
        <f>(14-COUNTIF(L75:Y75,"N"))/(14)</f>
        <v/>
      </c>
      <c r="L75" s="1" t="inlineStr">
        <is>
          <t>Multi-point external calibration using series of iron meteorite reference materials (North Chile Filomena as primary standard for Fe/Co/Ni/Cu/Ga/Ge/As/W/Au; Hoba for Ru/Rh/Pd/Re/Os/Ir/Pt; NIST SRM 1263a V-Cr steel for V/Cr/Fe/Co/Ni/Cu/As/Mo/W/Au)</t>
        </is>
      </c>
      <c r="M75" s="1" t="inlineStr">
        <is>
          <t>Internal normalization to MgO+FeO+SiO₂+P₂O₅ oxide sum corrects for point-to-point ablation yield variation; additional pixel-by-pixel normalization fixes oxide sum to 100 wt%</t>
        </is>
      </c>
      <c r="N75" s="1" t="inlineStr">
        <is>
          <t>Run 1: Oxide sum normalization corrects for ablation yield variation; external calibration using glass GRMs (NIST + USGS + MPI-DING); Run 2: Cr from run 1 as IS corrects for ablation yield; external calibration with expanded glass GRM set</t>
        </is>
      </c>
      <c r="O75" s="1" t="inlineStr">
        <is>
          <t>Oxide sum normalization to 100 wt% corrects for ablation yield and matrix effects; external calibration with MPI-DING and USGS glass GRMs</t>
        </is>
      </c>
      <c r="P75" s="1" t="inlineStr">
        <is>
          <t>Oxide sum normalization corrects for ablation yield variation; multi-point external calibration (gas blank regression forced through zero); synthetic glasses (GSE-1G, GSD-1G) not used for trace element calibration due to anomalous concentrations</t>
        </is>
      </c>
      <c r="Q75" s="1" t="inlineStr">
        <is>
          <t>Femtosecond laser substantially reduces elemental fractionation (non-thermal ablation); depth-of-ablation correction for differences in drilling rate between glass standards and silicate minerals (4–12 µm depth measured by digital microscope)</t>
        </is>
      </c>
      <c r="R75" s="1" t="inlineStr">
        <is>
          <t>External calibration using BCR-2g, BHVO-2g, BIR-1g; ²⁵Mg IS from EPMA corrects for ablation yield variation; no explicit downhole fractionation correction described</t>
        </is>
      </c>
      <c r="S75" s="1" t="inlineStr">
        <is>
          <t>External calibration using calibration curve method with IVB iron meteorite standards; ⁶¹Ni as IS from EPMA corrects for ablation yield differences between sample and standard</t>
        </is>
      </c>
      <c r="T7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75" s="1" t="inlineStr">
        <is>
          <t>Same calibration approach as spot protocol (iolite 3D DRS; same yield correction)</t>
        </is>
      </c>
      <c r="V75" s="1" t="inlineStr">
        <is>
          <t>Femtosecond laser substantially reduces elemental fractionation; no explicit downhole correction; Rb/Sr elemental fractionation corrected externally by analyzing series of reference glasses; exponential law for Sr isotope mass bias (88Sr/86Sr = 8.37521)</t>
        </is>
      </c>
      <c r="W75" s="1" t="inlineStr">
        <is>
          <t>Femtosecond laser substantially reduces elemental fractionation and matrix effects (stated); non-matrix-matched external standards (NIST 612 + 614) used successfully with fs laser (verified by GRM accuracy assessment)</t>
        </is>
      </c>
      <c r="X75" s="1" t="inlineStr">
        <is>
          <t>Femtosecond laser reduces LIEF; NIST 610 external standard; Si IS from EMP corrects for ablation yield</t>
        </is>
      </c>
      <c r="Y75" s="1" t="inlineStr">
        <is>
          <t>Femtosecond laser reduces LIEF; NIST 610 external standard; Fe IS from EMP corrects for ablation yield; micronuggets identified from Au signal spikes and excluded from integration</t>
        </is>
      </c>
    </row>
    <row r="76">
      <c r="A76" s="1" t="inlineStr">
        <is>
          <t>Uncertainty Propagation Method</t>
        </is>
      </c>
      <c r="B76" s="1" t="inlineStr">
        <is>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is>
      </c>
      <c r="C76" s="10" t="inlineStr">
        <is>
          <t>Advanced</t>
        </is>
      </c>
      <c r="D76" s="9" t="inlineStr">
        <is>
          <t>Editable</t>
        </is>
      </c>
      <c r="E76" s="1" t="inlineStr">
        <is>
          <t>Text (free)</t>
        </is>
      </c>
      <c r="F76" s="1" t="inlineStr">
        <is>
          <t>e.g., Counting statistics only (1σ on integrated signal, Longerich et al. 1996) | SD of n replicate analyses used as combined uncertainty estimate | Full propagation: counting + calibration standard + IS uncertainty (specify formula)</t>
        </is>
      </c>
      <c r="G76" s="1" t="n"/>
      <c r="H76" s="7" t="inlineStr">
        <is>
          <t>Y</t>
        </is>
      </c>
      <c r="I76" s="7" t="inlineStr">
        <is>
          <t>Y</t>
        </is>
      </c>
      <c r="J76" s="7" t="inlineStr">
        <is>
          <t>Y</t>
        </is>
      </c>
      <c r="K76" s="1">
        <f>(14-COUNTIF(L76:Y76,"N"))/(14)</f>
        <v/>
      </c>
      <c r="L76" s="1" t="inlineStr">
        <is>
          <t>Standard deviation (SD) across individual integration cycles of raster scans; uncertainty propagation not formally described</t>
        </is>
      </c>
      <c r="M76" s="1" t="inlineStr">
        <is>
          <t>Longerich et al. (1996) equation (3SD/S × √(1/Nb + 1/Na))</t>
        </is>
      </c>
      <c r="N76" s="1" t="inlineStr">
        <is>
          <t>Longerich et al. (1996) for LOD; uncertainty for concentrations not formally described</t>
        </is>
      </c>
      <c r="O76" s="1" t="inlineStr">
        <is>
          <t>Longerich et al. (1996) for LOD; uncertainty not formally described</t>
        </is>
      </c>
      <c r="P76" s="1" t="inlineStr">
        <is>
          <t>Pettke et al. (2012) equation for LoDs; intermediate precision assessed from repeated GRM mapping over 1 year</t>
        </is>
      </c>
      <c r="Q76" s="1" t="inlineStr">
        <is>
          <t>Theoretical 1σ analytical precision from counting statistics; dominated by counting statistics for REEs near detection limits</t>
        </is>
      </c>
      <c r="R76" s="1" t="inlineStr">
        <is>
          <t>N</t>
        </is>
      </c>
      <c r="S76" s="1" t="inlineStr">
        <is>
          <t>2SE of individual spot measurements reported</t>
        </is>
      </c>
      <c r="T76" s="1" t="inlineStr">
        <is>
          <t>N (iolite 4 computes uncertainty internally via Longerich et al. 1996)</t>
        </is>
      </c>
      <c r="U76" s="1" t="inlineStr">
        <is>
          <t>N (same as spot protocol)</t>
        </is>
      </c>
      <c r="V76" s="1" t="inlineStr">
        <is>
          <t>Standard error (SE = SD/√n) for repeatability within individual runs; assessed separately for 87Sr/86Sr and 87Rb/86Sr using signal intensity regression</t>
        </is>
      </c>
      <c r="W76" s="1" t="inlineStr">
        <is>
          <t>N (Iolite 4 internal uncertainty propagation implied)</t>
        </is>
      </c>
      <c r="X76" s="1" t="inlineStr">
        <is>
          <t>N</t>
        </is>
      </c>
      <c r="Y76" s="1" t="inlineStr">
        <is>
          <t>N</t>
        </is>
      </c>
    </row>
    <row r="77">
      <c r="A77" s="1" t="inlineStr">
        <is>
          <t>Matrix Offset Correction (LIEF)</t>
        </is>
      </c>
      <c r="B77" s="1" t="inlineStr">
        <is>
          <t>Whether an empirical correction was applied to account for systematic differences in laser-induced elemental fractionation (LIEF) patterns between the external calibration standard and the sample matrix.</t>
        </is>
      </c>
      <c r="C77" s="10" t="inlineStr">
        <is>
          <t>Advanced</t>
        </is>
      </c>
      <c r="D77" s="6" t="inlineStr">
        <is>
          <t>Read-Only</t>
        </is>
      </c>
      <c r="E77" s="1" t="inlineStr">
        <is>
          <t>Text (free)</t>
        </is>
      </c>
      <c r="F77" s="1" t="inlineStr">
        <is>
          <t>e.g., 'Applied: 6.4% offset in Ca/Si determined by comparison with EPMA (Jenner &amp; O'Neill 2012)' | 'Not applied; Ca used as IS to cancel LIEF offset' | 'Not applicable'</t>
        </is>
      </c>
      <c r="G77" s="1" t="n"/>
      <c r="H77" s="7" t="inlineStr">
        <is>
          <t>Y</t>
        </is>
      </c>
      <c r="I77" s="7" t="inlineStr">
        <is>
          <t>Y</t>
        </is>
      </c>
      <c r="J77" s="7" t="inlineStr">
        <is>
          <t>Y</t>
        </is>
      </c>
      <c r="K77" s="1">
        <f>(14-COUNTIF(L77:Y77,"N"))/(14)</f>
        <v/>
      </c>
      <c r="L77" s="1" t="inlineStr">
        <is>
          <t>N (no matrix offset correction; iron meteorite standards used to minimize matrix mismatch)</t>
        </is>
      </c>
      <c r="M77" s="1" t="inlineStr">
        <is>
          <t>N (oxide sum normalization approach is inherently matrix-independent within olivine composition range)</t>
        </is>
      </c>
      <c r="N77" s="1" t="inlineStr">
        <is>
          <t>N</t>
        </is>
      </c>
      <c r="O77" s="1" t="inlineStr">
        <is>
          <t>N</t>
        </is>
      </c>
      <c r="P77" s="1" t="inlineStr">
        <is>
          <t>N (natural rock glass GRMs used; no separate matrix offset correction)</t>
        </is>
      </c>
      <c r="Q77" s="1" t="inlineStr">
        <is>
          <t>N (depth correction applied but this corrects for ablation rate differences, not LIEF per se; fs laser minimizes fractionation)</t>
        </is>
      </c>
      <c r="R77" s="1" t="inlineStr">
        <is>
          <t>N</t>
        </is>
      </c>
      <c r="S77" s="1" t="inlineStr">
        <is>
          <t>N (fs laser minimizes LIEF; IVB iron meteorite standards used as matrix-matched reference)</t>
        </is>
      </c>
      <c r="T77" s="1" t="inlineStr">
        <is>
          <t>N (yield correction in iolite DRS addresses relative sensitivity differences between NIST SRM 612 and North Chile)</t>
        </is>
      </c>
      <c r="U77" s="1" t="inlineStr">
        <is>
          <t>N (same as spot protocol)</t>
        </is>
      </c>
      <c r="V77" s="1" t="inlineStr">
        <is>
          <t>N (fs laser minimizes LIEF)</t>
        </is>
      </c>
      <c r="W77" s="1" t="inlineStr">
        <is>
          <t>N (fs laser minimizes matrix effects)</t>
        </is>
      </c>
      <c r="X77" s="1" t="inlineStr">
        <is>
          <t>N (fs laser)</t>
        </is>
      </c>
      <c r="Y77" s="1" t="inlineStr">
        <is>
          <t>N (fs laser)</t>
        </is>
      </c>
    </row>
    <row r="78">
      <c r="A78" s="1" t="inlineStr">
        <is>
          <t>Signal Integration Interval Method</t>
        </is>
      </c>
      <c r="B7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78" s="5" t="inlineStr">
        <is>
          <t>Basic</t>
        </is>
      </c>
      <c r="D78" s="6" t="inlineStr">
        <is>
          <t>Read-Only</t>
        </is>
      </c>
      <c r="E78" s="1" t="inlineStr">
        <is>
          <t>Text (free)</t>
        </is>
      </c>
      <c r="F78" s="1" t="inlineStr">
        <is>
          <t>Manual visual inspection per analysis | Automated threshold (specify software and threshold) | Fixed time window applied uniformly | k-means clustering on multi-element map data | Phase mask applied using elemental threshold (e.g., P₂O₅ to exclude veinlets)</t>
        </is>
      </c>
      <c r="G78" s="1" t="n"/>
      <c r="H78" s="7" t="inlineStr">
        <is>
          <t>Y</t>
        </is>
      </c>
      <c r="I78" s="7" t="inlineStr">
        <is>
          <t>Y</t>
        </is>
      </c>
      <c r="J78" s="7" t="inlineStr">
        <is>
          <t>Y</t>
        </is>
      </c>
      <c r="K78" s="1">
        <f>(14-COUNTIF(L78:Y78,"N"))/(14)</f>
        <v/>
      </c>
      <c r="L78" s="1" t="inlineStr">
        <is>
          <t>N (raster averages; selection method not described)</t>
        </is>
      </c>
      <c r="M78" s="1" t="inlineStr">
        <is>
          <t>Manual visual inspection of time-resolved signal per line; anomalous spikes (inclusions, cracks, veinlets) excluded; P-rich veinlet regions identified and excluded from olivine averages</t>
        </is>
      </c>
      <c r="N78" s="1" t="inlineStr">
        <is>
          <t>Time-resolved signals inspected manually; unstable intervals at start and end discarded; Cr heterogeneities and inclusion signals (elevated P, Ca, Co, Ni) identified and excluded from integration</t>
        </is>
      </c>
      <c r="O78" s="1" t="inlineStr">
        <is>
          <t>Anomalous time steps excluded (inclusions, cracks, heterogeneity); manual inspection</t>
        </is>
      </c>
      <c r="P78" s="1" t="inlineStr">
        <is>
          <t>VOI (Volume of Interest) selection using k-means clustering algorithm in HDIP software, or manual selection; each VOI corresponds to a distinct mineral phase or compositional region of the micrometeorite</t>
        </is>
      </c>
      <c r="Q78" s="1" t="inlineStr">
        <is>
          <t>Manual selection of analytical points restricted to target minerals based on ME distribution maps; points from adjacent minerals excluded; averaging over ≥10 pixels for minerals &gt;40×40 µm²</t>
        </is>
      </c>
      <c r="R78" s="1" t="inlineStr">
        <is>
          <t>Time steps with enhanced P, Ca, Co, Ni, Zn count rates (indicating inclusions or cracks) excluded from integration; manual inspection</t>
        </is>
      </c>
      <c r="S78" s="1" t="inlineStr">
        <is>
          <t>Time-resolved signals monitored; analyses with elevated Mg, Si, P, S (inclusion indicators) excluded; stable signal intervals used for integration</t>
        </is>
      </c>
      <c r="T78" s="1" t="inlineStr">
        <is>
          <t>Time-resolved LA-ICP-MS signals inspected per analysis; background interval (20 s) and ablation interval (40 s) selected; no automated spike exclusion described</t>
        </is>
      </c>
      <c r="U78" s="1" t="inlineStr">
        <is>
          <t>Same procedure as spot protocol; signal integration for mapping not separately described</t>
        </is>
      </c>
      <c r="V78" s="1" t="inlineStr">
        <is>
          <t>Regions of integration for gas background and sample signal selected first; cycles at beginning and end of ablation discarded; for heterogeneous minerals (unstable 87Rb/86Sr): SUIA (Smallest Unit Isochron Age) data reduction strategy applied per cycle</t>
        </is>
      </c>
      <c r="W78" s="1" t="inlineStr">
        <is>
          <t>Time-resolved signals inspected visually; flux blank contributions to pollution elements (V, Co, Zn, Ba, La, Ce, Ta, U) identified and subtracted; 9-spot grid homogeneity tested before analysis</t>
        </is>
      </c>
      <c r="X78" s="1" t="inlineStr">
        <is>
          <t>Time-resolved LA-ICP-MS signal inspected; micronuggets identified from spikes in Au signal and excluded from integration to obtain smooth signals (verified by Fig. 1 in paper)</t>
        </is>
      </c>
      <c r="Y78" s="1" t="inlineStr">
        <is>
          <t>Same approach as glass; micronugget identification from Au signal spikes critical for sulfide analyses</t>
        </is>
      </c>
    </row>
    <row r="79">
      <c r="A79" s="1" t="inlineStr">
        <is>
          <t>Signal Integration Time</t>
        </is>
      </c>
      <c r="B7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is>
      </c>
      <c r="C79" s="8" t="inlineStr">
        <is>
          <t>N/A</t>
        </is>
      </c>
      <c r="D79" s="5" t="inlineStr">
        <is>
          <t>Basic</t>
        </is>
      </c>
      <c r="E79" s="1" t="inlineStr">
        <is>
          <t>Numeric (s)</t>
        </is>
      </c>
      <c r="F79" s="1" t="inlineStr">
        <is>
          <t>e.g., 40 s | 60 s</t>
        </is>
      </c>
      <c r="G79" s="1" t="n"/>
      <c r="H79" s="7" t="inlineStr">
        <is>
          <t>Y</t>
        </is>
      </c>
      <c r="I79" s="7" t="inlineStr">
        <is>
          <t>Y</t>
        </is>
      </c>
      <c r="J79" s="11" t="inlineStr">
        <is>
          <t>N</t>
        </is>
      </c>
      <c r="K79" s="1" t="n"/>
      <c r="L79" s="1" t="inlineStr">
        <is>
          <t>N/A (mapping) / ~20 s (Ge spots: 20 s ablation at 50 Hz)</t>
        </is>
      </c>
      <c r="M79" s="1" t="inlineStr">
        <is>
          <t>N/A (mapping)</t>
        </is>
      </c>
      <c r="N79" s="1" t="inlineStr">
        <is>
          <t>Run 1: ~50 s (34 runs covering 400 µm line + 10 s blank + washout); Run 2: same structure; actual integrated signal window within run not separately stated</t>
        </is>
      </c>
      <c r="O79" s="1" t="inlineStr">
        <is>
          <t>20 s (spot ablation time; full ablation interval used for integration after exclusion of anomalous steps)</t>
        </is>
      </c>
      <c r="P79" s="1" t="inlineStr">
        <is>
          <t>N/A (mapping)</t>
        </is>
      </c>
      <c r="Q79" s="1" t="inlineStr">
        <is>
          <t>N/A (mapping)</t>
        </is>
      </c>
      <c r="R79" s="1" t="inlineStr">
        <is>
          <t>N (parameters lost)</t>
        </is>
      </c>
      <c r="S79" s="1" t="inlineStr">
        <is>
          <t>N</t>
        </is>
      </c>
      <c r="T79" s="1" t="inlineStr">
        <is>
          <t>40 s (full ablation interval used; background subtracted separately)</t>
        </is>
      </c>
      <c r="U79" s="1" t="inlineStr">
        <is>
          <t>N/A (mapping)</t>
        </is>
      </c>
      <c r="V79" s="1" t="inlineStr">
        <is>
          <t>60–70 cycles × 0.524 s ≈ 31–37 s (final integrated signal window after discarding beginning and end cycles from 90 acquired cycles)</t>
        </is>
      </c>
      <c r="W79" s="1" t="inlineStr">
        <is>
          <t>45 s on-sample ablation (full ablation interval used for integration)</t>
        </is>
      </c>
      <c r="X79" s="1" t="inlineStr">
        <is>
          <t>~40 s (inferred from typical CetacAnalyte HE protocol; stable signal used)</t>
        </is>
      </c>
      <c r="Y79" s="1" t="inlineStr">
        <is>
          <t>~40 s (same)</t>
        </is>
      </c>
    </row>
    <row r="80">
      <c r="A80" s="1" t="inlineStr">
        <is>
          <t>Spike / Outlier Filtering Approach</t>
        </is>
      </c>
      <c r="B8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is>
      </c>
      <c r="C80" s="10" t="inlineStr">
        <is>
          <t>Advanced</t>
        </is>
      </c>
      <c r="D80" s="9" t="inlineStr">
        <is>
          <t>Editable</t>
        </is>
      </c>
      <c r="E80" s="1" t="inlineStr">
        <is>
          <t>Text (free)</t>
        </is>
      </c>
      <c r="F80" s="1" t="inlineStr">
        <is>
          <t>e.g., 'Significant single spikes visually identified and removed in Iolite' | 'Statistical filter: data points &gt;3σ from running mean removed' | 'No filtering applied' | 'Automated spike detection in SILLS'</t>
        </is>
      </c>
      <c r="G80" s="1" t="n"/>
      <c r="H80" s="7" t="inlineStr">
        <is>
          <t>Y</t>
        </is>
      </c>
      <c r="I80" s="7" t="inlineStr">
        <is>
          <t>Y</t>
        </is>
      </c>
      <c r="J80" s="7" t="inlineStr">
        <is>
          <t>Y</t>
        </is>
      </c>
      <c r="K80" s="1">
        <f>(14-COUNTIF(L80:Y80,"N"))/(14)</f>
        <v/>
      </c>
      <c r="L80" s="1" t="inlineStr">
        <is>
          <t>N (raster scans; "failed to yield useful Ge abundances" for Klamath Falls noted — implying visual quality control)</t>
        </is>
      </c>
      <c r="M80" s="1" t="inlineStr">
        <is>
          <t>Manual identification and exclusion of P-rich veinlet pixels from olivine averages; anomalous spikes from inclusions excluded per line</t>
        </is>
      </c>
      <c r="N80" s="1" t="inlineStr">
        <is>
          <t>Manual inspection; analyses with elevated P, Ca, Co, Ni (phosphate or metal inclusions) excluded; Cr heterogeneities also flagged</t>
        </is>
      </c>
      <c r="O80" s="1" t="inlineStr">
        <is>
          <t>Anomalous time steps excluded during manual inspection</t>
        </is>
      </c>
      <c r="P80" s="1" t="inlineStr">
        <is>
          <t>k-means clustering in HDIP software for automated phase segmentation; mixed-phase edge pixels and epoxy pixels identified by threshold and excluded</t>
        </is>
      </c>
      <c r="Q80" s="1" t="inlineStr">
        <is>
          <t>Manual selection of integration pixels; cross-contamination between adjacent minerals minimized by selecting points restricted to single mineral based on ME distribution</t>
        </is>
      </c>
      <c r="R80" s="1" t="inlineStr">
        <is>
          <t>Time steps with enhanced P, Ca, Co, Ni, Zn excluded (inclusions and heterogeneities); Grubb's test applied to EPMA data for outlier detection</t>
        </is>
      </c>
      <c r="S80" s="1" t="inlineStr">
        <is>
          <t>Monitoring of Mg, Si, P, S to check for micro-inclusions (sulfides); analyses with elevated inclusion signals excluded entirely</t>
        </is>
      </c>
      <c r="T80" s="1" t="inlineStr">
        <is>
          <t>N (no explicit spike filtering described beyond background subtraction)</t>
        </is>
      </c>
      <c r="U80" s="1" t="inlineStr">
        <is>
          <t>N (mapping; iolite 3D DRS handles background; no per-pixel spike filtering described)</t>
        </is>
      </c>
      <c r="V80" s="1" t="inlineStr">
        <is>
          <t>Cycles with 87Rb/86Sr &gt;1 deleted (invalid Rb interference correction); cycles with 88Sr signal &lt;0.2 V discarded (poor precision); SUIA method applied to heterogeneous minerals</t>
        </is>
      </c>
      <c r="W80" s="1" t="inlineStr">
        <is>
          <t>Homogeneity index (H) applied to test element distribution; Co, Ni, Cu in high-Si glass (GSR-1) identified as near-LOD and flagged; flux blank contributions to pollution elements subtracted</t>
        </is>
      </c>
      <c r="X80" s="1" t="inlineStr">
        <is>
          <t>Micronuggets identified from Au signal spikes in time-resolved spectra; excluded from integration (smooth signals = fully dissolved Au; Fig. 1 shows this criterion)</t>
        </is>
      </c>
      <c r="Y80" s="1" t="inlineStr">
        <is>
          <t>Same approach as glass; Au spike identification critical for determining solubility vs. nugget contribution</t>
        </is>
      </c>
    </row>
    <row r="81">
      <c r="A81" s="1" t="inlineStr">
        <is>
          <t>Blank / Background Correction Method</t>
        </is>
      </c>
      <c r="B8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81" s="5" t="inlineStr">
        <is>
          <t>Basic</t>
        </is>
      </c>
      <c r="D81" s="6" t="inlineStr">
        <is>
          <t>Read-Only</t>
        </is>
      </c>
      <c r="E81" s="1" t="inlineStr">
        <is>
          <t>Text (free)</t>
        </is>
      </c>
      <c r="F81" s="1" t="inlineStr">
        <is>
          <t>e.g., 'Mean of 30 s pre-ablation gas blank subtracted per isotope per analysis' | 'Separate gas blank map (10 adjacent lines, laser off) acquired for each GRM; mean used for subtraction'</t>
        </is>
      </c>
      <c r="G81" s="1" t="n"/>
      <c r="H81" s="7" t="inlineStr">
        <is>
          <t>Y</t>
        </is>
      </c>
      <c r="I81" s="7" t="inlineStr">
        <is>
          <t>Y</t>
        </is>
      </c>
      <c r="J81" s="7" t="inlineStr">
        <is>
          <t>Y</t>
        </is>
      </c>
      <c r="K81" s="1">
        <f>(14-COUNTIF(L81:Y81,"N"))/(14)</f>
        <v/>
      </c>
      <c r="L81" s="1" t="inlineStr">
        <is>
          <t>Gas blank measured before each raster analysis; mean background subtracted</t>
        </is>
      </c>
      <c r="M81" s="1" t="inlineStr">
        <is>
          <t>Gas blank measured before each ablation line (10 scans of gas blank per mapping line); average background subtracted from each corresponding ablation line</t>
        </is>
      </c>
      <c r="N81" s="1" t="inlineStr">
        <is>
          <t>Gas blank measured before each analysis (5 scans); average background value preceding each analysis subtracted from corresponding data</t>
        </is>
      </c>
      <c r="O81" s="1" t="inlineStr">
        <is>
          <t>Gas blank measured before each spot analysis (8 scans); average background subtracted</t>
        </is>
      </c>
      <c r="P81" s="1" t="inlineStr">
        <is>
          <t>Gas blank map (10 adjacent lines, laser shutter closed) acquired for each GRM at session start and after each set of samples; mean background subtracted</t>
        </is>
      </c>
      <c r="Q81" s="1" t="inlineStr">
        <is>
          <t>Background measured before each line scan area; washout time (~3 s) used to define start of new ablation period</t>
        </is>
      </c>
      <c r="R81" s="1" t="inlineStr">
        <is>
          <t>Gas blank measured before each analysis (laser shutter closed); time steps with background-level signals excluded during data reduction</t>
        </is>
      </c>
      <c r="S81" s="1" t="inlineStr">
        <is>
          <t>Gas blank measured before each spot; background period during single spot transient (rapid intensity rise and decay) used for background correction</t>
        </is>
      </c>
      <c r="T81" s="1" t="inlineStr">
        <is>
          <t>Background signal measured for 20 s (laser shutter closed) before each 40 s ablation; background mean subtracted per isotope in iolite</t>
        </is>
      </c>
      <c r="U81" s="1" t="inlineStr">
        <is>
          <t>Background (1 min) measured at session start; additional 3 measurements of NIST and North Chile used for calibration (background included in regression line for gas blank)</t>
        </is>
      </c>
      <c r="V81" s="1" t="inlineStr">
        <is>
          <t>First 30 cycles (no laser ablation) used for background collection; background Kr⁺ signals removed by correction; no additional Kr peak stripping applied</t>
        </is>
      </c>
      <c r="W81" s="1" t="inlineStr">
        <is>
          <t>Gas blank measured for 25 s before each ablation; background subtracted per isotope</t>
        </is>
      </c>
      <c r="X81" s="1" t="inlineStr">
        <is>
          <t>N (background subtraction performed but method not explicitly described; implied from standard Agilent/iolite workflow)</t>
        </is>
      </c>
      <c r="Y81" s="1" t="inlineStr">
        <is>
          <t>N (same as glass protocol)</t>
        </is>
      </c>
    </row>
    <row r="82">
      <c r="A82" s="1" t="inlineStr">
        <is>
          <t>Pulse/Analog Detector Nonlinearity Correction</t>
        </is>
      </c>
      <c r="B82" s="1" t="inlineStr">
        <is>
          <t>Whether a correction was applied for nonlinear response at the transition between pulse-counting and analog detector modes.</t>
        </is>
      </c>
      <c r="C82" s="10" t="inlineStr">
        <is>
          <t>Advanced</t>
        </is>
      </c>
      <c r="D82" s="9" t="inlineStr">
        <is>
          <t>Editable</t>
        </is>
      </c>
      <c r="E82" s="1" t="inlineStr">
        <is>
          <t>Controlled list / Text</t>
        </is>
      </c>
      <c r="F82" s="1" t="inlineStr">
        <is>
          <t>Not applicable (instrument uses pulse counting only) | Applied: describe method and elements affected | Not applied (crossover threshold not reached for any element) | Not applied (known bias accepted)</t>
        </is>
      </c>
      <c r="G82" s="1" t="n"/>
      <c r="H82" s="7" t="inlineStr">
        <is>
          <t>Y</t>
        </is>
      </c>
      <c r="I82" s="7" t="inlineStr">
        <is>
          <t>Y</t>
        </is>
      </c>
      <c r="J82" s="7" t="inlineStr">
        <is>
          <t>Y</t>
        </is>
      </c>
      <c r="K82" s="1">
        <f>(14-COUNTIF(L82:Y82,"N"))/(14)</f>
        <v/>
      </c>
      <c r="L82" s="1" t="inlineStr">
        <is>
          <t>Applied: triple mode detection at 65% duty cycle (pulse counting + analog + Faraday); specific cross-calibration not described</t>
        </is>
      </c>
      <c r="M82" s="1" t="inlineStr">
        <is>
          <t>Applied: triple mode detection; cross-calibration between pulse-counting and analog modes performed</t>
        </is>
      </c>
      <c r="N82" s="1" t="inlineStr">
        <is>
          <t>Applied: Run 1 medium resolution with Faraday for major elements; Run 2 low resolution; cross-calibration performed</t>
        </is>
      </c>
      <c r="O82" s="1" t="inlineStr">
        <is>
          <t>Applied: triple mode detection</t>
        </is>
      </c>
      <c r="P82" s="1" t="inlineStr">
        <is>
          <t>N/A — ToF detector; MCP with simultaneous detection; notch filter for Ar-based ions prevents detector saturation</t>
        </is>
      </c>
      <c r="Q82" s="1" t="inlineStr">
        <is>
          <t>N/A (quadrupole with SEM; single detection mode)</t>
        </is>
      </c>
      <c r="R82" s="1" t="inlineStr">
        <is>
          <t>N (parameters lost)</t>
        </is>
      </c>
      <c r="S82" s="1" t="inlineStr">
        <is>
          <t>N (quadrupole X-series 2; single detector mode)</t>
        </is>
      </c>
      <c r="T82" s="1" t="inlineStr">
        <is>
          <t>Applied: triple mode detector (pulse counting, analog, Faraday); low relative abundance isotopes chosen for Ni and Fe to allow analog mode measurement of major matrix elements</t>
        </is>
      </c>
      <c r="U82" s="1" t="inlineStr">
        <is>
          <t>Applied (same as spot)</t>
        </is>
      </c>
      <c r="V82" s="1" t="inlineStr">
        <is>
          <t>N/A (MC-ICP-MS; Faraday cups and electron multiplier ICs; no pulse/analog transition)</t>
        </is>
      </c>
      <c r="W82" s="1" t="inlineStr">
        <is>
          <t>Applied: dual detector mode (30 ms / 10 ms dwell alternation)</t>
        </is>
      </c>
      <c r="X82" s="1" t="inlineStr">
        <is>
          <t>N</t>
        </is>
      </c>
      <c r="Y82" s="1" t="inlineStr">
        <is>
          <t>N</t>
        </is>
      </c>
    </row>
    <row r="83">
      <c r="A83" s="1" t="inlineStr">
        <is>
          <t>Isobaric Interference Corrections Applied</t>
        </is>
      </c>
      <c r="B83" s="1" t="inlineStr">
        <is>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is>
      </c>
      <c r="C83" s="5" t="inlineStr">
        <is>
          <t>Basic</t>
        </is>
      </c>
      <c r="D83" s="6" t="inlineStr">
        <is>
          <t>Read-Only</t>
        </is>
      </c>
      <c r="E83" s="1" t="inlineStr">
        <is>
          <t>Boolean</t>
        </is>
      </c>
      <c r="F83" s="1" t="inlineStr">
        <is>
          <t>Yes | No</t>
        </is>
      </c>
      <c r="G83" s="1" t="inlineStr">
        <is>
          <t>Analyte specific</t>
        </is>
      </c>
      <c r="H83" s="7" t="inlineStr">
        <is>
          <t>Y</t>
        </is>
      </c>
      <c r="I83" s="7" t="inlineStr">
        <is>
          <t>Y</t>
        </is>
      </c>
      <c r="J83" s="7" t="inlineStr">
        <is>
          <t>Y</t>
        </is>
      </c>
      <c r="K83" s="1">
        <f>(14-COUNTIF(L83:Y83,"N"))/(14)</f>
        <v/>
      </c>
      <c r="L83" s="1" t="inlineStr">
        <is>
          <t>Yes — ⁹⁹Ru used instead of ¹⁰¹Ru to avoid ⁴⁰Ar⁶¹Ni⁺ interference; isotope selection minimizes other interferences</t>
        </is>
      </c>
      <c r="M83" s="1" t="inlineStr">
        <is>
          <t>Yes — cool plasma conditions (800 W) applied to reduce argide-based interferences (³⁶Ar²⁴Mg⁺ on ⁶⁰Ni; ⁴⁰Ar³¹P⁺ on ⁷¹Ga); oxide-based interferences minimized by dry plasma and tuning; mathematical corrections in some cases (Table C1)</t>
        </is>
      </c>
      <c r="N83" s="1" t="inlineStr">
        <is>
          <t>Yes — cool plasma not applicable (normal plasma); argide corrections less critical; oxide interferences monitored; spectral interference list in Table C1</t>
        </is>
      </c>
      <c r="O83" s="1" t="inlineStr">
        <is>
          <t>Yes — same instrument settings; interference corrections as per Table C1</t>
        </is>
      </c>
      <c r="P83" s="1" t="inlineStr">
        <is>
          <t>Yes — notch filter quadrupole attenuates ³⁶Ar⁺, ⁴⁰Ar⁺, ⁴⁰ArH⁺, ⁴⁰Ar⁴⁰Ar⁺ to avoid detector saturation</t>
        </is>
      </c>
      <c r="Q83" s="1" t="inlineStr">
        <is>
          <t>Yes — KED (kinetic energy discrimination) mode with He collision gas (4 ml min⁻¹) suppresses polyatomic ion interferences</t>
        </is>
      </c>
      <c r="R83" s="1" t="inlineStr">
        <is>
          <t>N (parameters lost; medium resolution mode implies interference resolution by mass)</t>
        </is>
      </c>
      <c r="S83" s="1" t="inlineStr">
        <is>
          <t>No explicit corrections applied; monitoring of Mg, Si, P, S used to detect and exclude inclusion-contaminated analyses rather than correct for spectral interferences</t>
        </is>
      </c>
      <c r="T83" s="1" t="inlineStr">
        <is>
          <t>Yes — isotope selection to minimize interferences (e.g., ⁹⁹Ru instead of ¹⁰¹Ru to avoid ⁴⁰Ar⁶¹Ni⁺; low abundance isotopes for Fe and Ni)</t>
        </is>
      </c>
      <c r="U83" s="1" t="inlineStr">
        <is>
          <t>Yes (same as spot protocol)</t>
        </is>
      </c>
      <c r="V83" s="1" t="inlineStr">
        <is>
          <t>Yes — correction for doubly charged ions: ¹⁶⁸Er²⁺ on ⁸⁴Sr; ¹⁷⁰Er²⁺ and ¹⁷⁰Yb²⁺ on ⁸⁵Rb; ¹⁷²Yb²⁺ on ⁸⁶Sr; ¹⁷⁴Yb²⁺ on ⁸⁷Sr; ⁸⁷Rb isobaric on ⁸⁷Sr (corrected using 85Rb signal and exponential law)</t>
        </is>
      </c>
      <c r="W83" s="1" t="inlineStr">
        <is>
          <t>Yes — fs laser substantially reduces oxide and matrix interferences; flux blank contributions to V, Co, Zn, Ba, La, Ce, Ta, U identified and subtracted</t>
        </is>
      </c>
      <c r="X83" s="1" t="inlineStr">
        <is>
          <t>Yes (fs laser reduces interferences)</t>
        </is>
      </c>
      <c r="Y83" s="1" t="inlineStr">
        <is>
          <t>Yes (fs laser reduces interferences)</t>
        </is>
      </c>
    </row>
    <row r="84">
      <c r="A84" s="1" t="inlineStr">
        <is>
          <t>Interfering Species</t>
        </is>
      </c>
      <c r="B84" s="1" t="inlineStr">
        <is>
          <t>Elemental or molecular species (oxides, argides, doubly charged ions) overlapping with the measured isotope.</t>
        </is>
      </c>
      <c r="C84" s="5" t="inlineStr">
        <is>
          <t>Basic</t>
        </is>
      </c>
      <c r="D84" s="6" t="inlineStr">
        <is>
          <t>Read-Only</t>
        </is>
      </c>
      <c r="E84" s="1" t="inlineStr">
        <is>
          <t>Text (free)</t>
        </is>
      </c>
      <c r="F84" s="1" t="inlineStr">
        <is>
          <t>e.g., '⁸⁷Rb on ⁸⁷Sr; ¹⁷⁰Yb²⁺ on ⁸⁵Rb' | '⁴⁰Ar³¹P⁺ on ⁷¹Ga; ⁴⁴Ca¹⁶O⁺ on ⁶⁰Ni' | '¹³⁷Ba¹⁶O⁺ on ¹⁵³Eu' | 'None'</t>
        </is>
      </c>
      <c r="G84" s="1" t="inlineStr">
        <is>
          <t>Analyte specific</t>
        </is>
      </c>
      <c r="H84" s="7" t="inlineStr">
        <is>
          <t>Y</t>
        </is>
      </c>
      <c r="I84" s="7" t="inlineStr">
        <is>
          <t>Y</t>
        </is>
      </c>
      <c r="J84" s="7" t="inlineStr">
        <is>
          <t>Y</t>
        </is>
      </c>
      <c r="K84" s="1">
        <f>(14-COUNTIF(L84:Y84,"N"))/(14)</f>
        <v/>
      </c>
      <c r="L84" s="1" t="inlineStr">
        <is>
          <t>⁴⁰Ar⁶¹Ni⁺ on ¹⁰¹Ru (most abundant Ru isotope → use ⁹⁹Ru instead)</t>
        </is>
      </c>
      <c r="M8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N84" s="1" t="inlineStr">
        <is>
          <t>Same interference list as mapping (Table C1); argide-based interferences less critical without cool plasma</t>
        </is>
      </c>
      <c r="O84" s="1" t="inlineStr">
        <is>
          <t>Same interference list (Table C1)</t>
        </is>
      </c>
      <c r="P84" s="1" t="inlineStr">
        <is>
          <t>³⁶Ar⁺, ⁴⁰Ar⁺, ⁴⁰ArH⁺, ⁴⁰Ar⁴⁰Ar⁺ (attenuated by notch-filter quadrupole)</t>
        </is>
      </c>
      <c r="Q84" s="1" t="inlineStr">
        <is>
          <t>Polyatomic ions (oxide ions ThO⁺/Th⁺ as proxy); argide ions suppressed by KED; no specific element-by-element list given</t>
        </is>
      </c>
      <c r="R84" s="1" t="inlineStr">
        <is>
          <t>N (parameters lost; medium resolution resolves most polyatomic interferences)</t>
        </is>
      </c>
      <c r="S84" s="1" t="inlineStr">
        <is>
          <t>Sulfide inclusions detectable via ³³S signal; phosphide inclusions via ³¹P; silicate inclusions via ²⁴Mg, ²⁹Si (used to exclude contaminated analyses)</t>
        </is>
      </c>
      <c r="T84" s="1" t="inlineStr">
        <is>
          <t>⁴⁰Ar⁶¹Ni⁺ on ¹⁰¹Ru (primary concern) → ⁹⁹Ru used instead; Fe and Ni matrix species on other isotopes minimized by isotope selection</t>
        </is>
      </c>
      <c r="U84" s="1" t="inlineStr">
        <is>
          <t>Same as spot protocol</t>
        </is>
      </c>
      <c r="V84" s="1" t="inlineStr">
        <is>
          <t>¹⁶⁸Er²⁺ on ⁸⁴Sr; ¹⁷⁰Er²⁺ + ¹⁷⁰Yb²⁺ on ⁸⁵Rb; ¹⁷²Yb²⁺ on ⁸⁶Sr; ¹⁷⁴Yb²⁺ on ⁸⁷Sr; ⁸⁷Rb on ⁸⁷Sr (isobaric)</t>
        </is>
      </c>
      <c r="W84" s="1" t="inlineStr">
        <is>
          <t>Li₂B₄O₇ flux blank contains V, Co, Zn, Ba, La, Ce, Ta, U at detectable levels; subtracted as blank contribution</t>
        </is>
      </c>
      <c r="X84" s="1" t="inlineStr">
        <is>
          <t>N</t>
        </is>
      </c>
      <c r="Y84" s="1" t="inlineStr">
        <is>
          <t>N</t>
        </is>
      </c>
    </row>
    <row r="85">
      <c r="A85" s="1" t="inlineStr">
        <is>
          <t>Interference Correction Method</t>
        </is>
      </c>
      <c r="B85" s="1" t="inlineStr">
        <is>
          <t>Equation or procedure used to correct for isobaric interferences, including the production rate factor and the reference material used to measure it.</t>
        </is>
      </c>
      <c r="C85" s="5" t="inlineStr">
        <is>
          <t>Basic</t>
        </is>
      </c>
      <c r="D85" s="6" t="inlineStr">
        <is>
          <t>Read-Only</t>
        </is>
      </c>
      <c r="E85" s="1" t="inlineStr">
        <is>
          <t>Text (free)</t>
        </is>
      </c>
      <c r="F8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85" s="1" t="inlineStr">
        <is>
          <t>Analyte specific</t>
        </is>
      </c>
      <c r="H85" s="7" t="inlineStr">
        <is>
          <t>Y</t>
        </is>
      </c>
      <c r="I85" s="7" t="inlineStr">
        <is>
          <t>Y</t>
        </is>
      </c>
      <c r="J85" s="7" t="inlineStr">
        <is>
          <t>Y</t>
        </is>
      </c>
      <c r="K85" s="1">
        <f>(14-COUNTIF(L85:Y85,"N"))/(14)</f>
        <v/>
      </c>
      <c r="L85" s="1" t="inlineStr">
        <is>
          <t>Isotope selection: ⁹⁹Ru chosen over ¹⁰¹Ru; other isotopes chosen to minimize interference</t>
        </is>
      </c>
      <c r="M8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N85" s="1" t="inlineStr">
        <is>
          <t>Argide corrections less critical (normal plasma); oxide-based interferences minimized by tuning; same interference list but without cool plasma mitigation</t>
        </is>
      </c>
      <c r="O85" s="1" t="inlineStr">
        <is>
          <t>Same approach as mapping; oxide sum normalization partially corrects for matrix-dependent interferences</t>
        </is>
      </c>
      <c r="P85" s="1" t="inlineStr">
        <is>
          <t>Physical attenuation: notch-filter quadrupole removes Ar-based ions (³⁶Ar⁺, ⁴⁰Ar⁺, ⁴⁰ArH⁺, ⁴⁰Ar⁴⁰Ar⁺) before detector to prevent saturation</t>
        </is>
      </c>
      <c r="Q85" s="1" t="inlineStr">
        <is>
          <t>KED mode with He collision gas (4 ml min⁻¹): interfering polyatomic ions lose kinetic energy through collisions with He and are rejected by retarding potential; He flow optimized to suppress interferences while maintaining REE ion transmission; oxide production monitored by ThO⁺/Th⁺ &lt;1%</t>
        </is>
      </c>
      <c r="R85" s="1" t="inlineStr">
        <is>
          <t>Medium mass resolution (M/ΔM ≈ 4000) separates many polyatomic interferences from analyte peaks (e.g., resolves ⁵⁴Fe⁺ from ⁵⁴Cr⁺)</t>
        </is>
      </c>
      <c r="S85" s="1" t="inlineStr">
        <is>
          <t>Exclusion-based approach: analyses with elevated Mg, Si, P, S (from silicate, phosphate, or sulfide inclusions) excluded entirely rather than applying mathematical corrections</t>
        </is>
      </c>
      <c r="T85" s="1" t="inlineStr">
        <is>
          <t>Isotope selection minimizes interferences; low-abundance isotopes of Fe and Ni chosen for analog mode to prevent detector saturation</t>
        </is>
      </c>
      <c r="U85" s="1" t="inlineStr">
        <is>
          <t>Same isotope selection as spot protocol</t>
        </is>
      </c>
      <c r="V8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c r="W85" s="1" t="inlineStr">
        <is>
          <t>Flux blank subtraction: blank contribution to each pollution element (V, Co, Zn, Ba, La, Ce, Ta, U) measured in procedure blanks and subtracted; LOQ for pollution elements = blank value + 10SD</t>
        </is>
      </c>
      <c r="X85" s="1" t="inlineStr">
        <is>
          <t>N</t>
        </is>
      </c>
      <c r="Y85" s="1" t="inlineStr">
        <is>
          <t>N</t>
        </is>
      </c>
    </row>
    <row r="86">
      <c r="A86" s="1" t="inlineStr">
        <is>
          <t>Memory Effect Mitigation</t>
        </is>
      </c>
      <c r="B86" s="1" t="inlineStr">
        <is>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86" s="10" t="inlineStr">
        <is>
          <t>Advanced</t>
        </is>
      </c>
      <c r="D86" s="9" t="inlineStr">
        <is>
          <t>Editable</t>
        </is>
      </c>
      <c r="E86" s="1" t="inlineStr">
        <is>
          <t>Text (free)</t>
        </is>
      </c>
      <c r="F86" s="1" t="inlineStr">
        <is>
          <t>e.g., 'Extended washout (≥60 s He flush) between high-concentration standards and unknowns' | 'Scan speed set so that washout time (&lt;1 s) is shorter than pixel acquisition interval' | 'None required for this element suite'</t>
        </is>
      </c>
      <c r="G86" s="1" t="n"/>
      <c r="H86" s="7" t="inlineStr">
        <is>
          <t>Y</t>
        </is>
      </c>
      <c r="I86" s="7" t="inlineStr">
        <is>
          <t>Y</t>
        </is>
      </c>
      <c r="J86" s="7" t="inlineStr">
        <is>
          <t>Y</t>
        </is>
      </c>
      <c r="K86" s="1">
        <f>(14-COUNTIF(L86:Y86,"N"))/(14)</f>
        <v/>
      </c>
      <c r="L86" s="1" t="inlineStr">
        <is>
          <t>N (washout time between analyses not stated; sequential raster scans)</t>
        </is>
      </c>
      <c r="M86" s="1" t="inlineStr">
        <is>
          <t>Gas blank measured before each ablation line; adequate washout ensured by duty cycle timing</t>
        </is>
      </c>
      <c r="N86" s="1" t="inlineStr">
        <is>
          <t>Washout time: 11 s between runs (runs include 400 µm line + blank + washout)</t>
        </is>
      </c>
      <c r="O86" s="1" t="inlineStr">
        <is>
          <t>10 s washout time after 20 s spot ablation (specified in acquisition protocol)</t>
        </is>
      </c>
      <c r="P86" s="1" t="inlineStr">
        <is>
          <t>Low-dispersion tube-type cell + ARIS provides very short aerosol pulse response (&lt;1 ms at 1% baseline); delay between laser trigger and aerosol arrival tuned daily; effectively eliminates inter-pixel memory in mapping</t>
        </is>
      </c>
      <c r="Q86" s="1" t="inlineStr">
        <is>
          <t>Washout time approximately 3 s (defined as time for REE signal to decrease by two orders of magnitude after ablation of NIST SRM 612); scan speed (2 µm s⁻¹) ensures laser moves only 6 µm during washout — less than 10 µm spot diameter</t>
        </is>
      </c>
      <c r="R86" s="1" t="inlineStr">
        <is>
          <t>N (parameters lost)</t>
        </is>
      </c>
      <c r="S86" s="1" t="inlineStr">
        <is>
          <t>N (single spot analyses; no sequential memory effect described)</t>
        </is>
      </c>
      <c r="T86" s="1" t="inlineStr">
        <is>
          <t>N (washout between analyses not explicitly described; sequential spot analyses)</t>
        </is>
      </c>
      <c r="U86" s="1" t="inlineStr">
        <is>
          <t>N (mapping; ARIS-equivalent not described; single mapping session)</t>
        </is>
      </c>
      <c r="V86" s="1" t="inlineStr">
        <is>
          <t>N (no memory effect mitigation described; line scan mode with no return to same location)</t>
        </is>
      </c>
      <c r="W86" s="1" t="inlineStr">
        <is>
          <t>25 s washout between analyses (25 s gas blank → 45 s ablation → 25 s washout)</t>
        </is>
      </c>
      <c r="X86" s="1" t="inlineStr">
        <is>
          <t>N</t>
        </is>
      </c>
      <c r="Y86" s="1" t="inlineStr">
        <is>
          <t>N</t>
        </is>
      </c>
    </row>
    <row r="87">
      <c r="A87" s="1" t="inlineStr">
        <is>
          <t>Normalization / Standards-Based Correction</t>
        </is>
      </c>
      <c r="B8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87" s="10" t="inlineStr">
        <is>
          <t>Advanced</t>
        </is>
      </c>
      <c r="D87" s="9" t="inlineStr">
        <is>
          <t>Editable</t>
        </is>
      </c>
      <c r="E87" s="1" t="inlineStr">
        <is>
          <t>Text (free)</t>
        </is>
      </c>
      <c r="F87" s="1" t="inlineStr">
        <is>
          <t>e.g., 'None' | '100% oxide sum normalization applied per pixel to enforce mass balance (Liu et al. 2008)' | 'Normalized to ⁸⁸Sr/⁸⁶Sr = 8.37521 for mass bias correction in Sr isotope analysis'</t>
        </is>
      </c>
      <c r="G87" s="1" t="n"/>
      <c r="H87" s="7" t="inlineStr">
        <is>
          <t>Y</t>
        </is>
      </c>
      <c r="I87" s="7" t="inlineStr">
        <is>
          <t>Y</t>
        </is>
      </c>
      <c r="J87" s="7" t="inlineStr">
        <is>
          <t>Y</t>
        </is>
      </c>
      <c r="K87" s="1">
        <f>(14-COUNTIF(L87:Y87,"N"))/(14)</f>
        <v/>
      </c>
      <c r="L87" s="1" t="inlineStr">
        <is>
          <t>External calibration with iron meteorite and NIST SRM 1263a V-Cr steel standards; no post-acquisition normalization described</t>
        </is>
      </c>
      <c r="M87" s="1" t="inlineStr">
        <is>
          <t>100% oxide sum normalization (MgO+FeO+SiO₂+P₂O₅) applied per pixel after IS-normalized external calibration (equations 3–4 in Appendix C1) to fix final mass balance</t>
        </is>
      </c>
      <c r="N87" s="1" t="inlineStr">
        <is>
          <t>Run 1: 100% oxide sum normalization; Run 2: Cr IS from Run 1 applied; no further post-acquisition normalization</t>
        </is>
      </c>
      <c r="O87" s="1" t="inlineStr">
        <is>
          <t>100% oxide sum normalization to 100 wt% for phosphate minerals (Appendix C3)</t>
        </is>
      </c>
      <c r="P87" s="1" t="inlineStr">
        <is>
          <t>100% oxide sum normalization of all detected element oxides to 100% after multi-point external calibration</t>
        </is>
      </c>
      <c r="Q87" s="1" t="inlineStr">
        <is>
          <t>100% oxide sum normalization (7 MEs + Cl) after external calibration; per-pixel normalization accounts for varying mineral stoichiometry across the FG</t>
        </is>
      </c>
      <c r="R87" s="1" t="inlineStr">
        <is>
          <t>No post-acquisition normalization; BCR-2g, BHVO-2g, BIR-1g used for calibration; Marjalahti as in-session control</t>
        </is>
      </c>
      <c r="S87" s="1" t="inlineStr">
        <is>
          <t>No post-acquisition normalization; calibration curve method using IVB standards provides direct quantification</t>
        </is>
      </c>
      <c r="T87" s="1" t="inlineStr">
        <is>
          <t>Fe+Ni+Co=100% sum normalization applied in iolite 3D Trace Elements DRS as final step; yield correction factors applied for NIST SRM 612 relative to North Chile</t>
        </is>
      </c>
      <c r="U87" s="1" t="inlineStr">
        <is>
          <t>Fe+Ni+Co=100% normalization (mandatory for multi-phase mapping); same iolite DRS as spot</t>
        </is>
      </c>
      <c r="V87"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c r="W87" s="1" t="inlineStr">
        <is>
          <t>No post-acquisition normalization beyond IS approach (two IS elements applied element-specifically)</t>
        </is>
      </c>
      <c r="X87" s="1" t="inlineStr">
        <is>
          <t>No post-acquisition normalization beyond IS (Si from EMP)</t>
        </is>
      </c>
      <c r="Y87" s="1" t="inlineStr">
        <is>
          <t>No post-acquisition normalization beyond IS (Fe from EMP)</t>
        </is>
      </c>
    </row>
    <row r="88" ht="8" customHeight="1"/>
    <row r="89">
      <c r="A89" s="4" t="inlineStr">
        <is>
          <t>6. Quality Control &amp; Uncertainty</t>
        </is>
      </c>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c r="A90" s="1" t="inlineStr">
        <is>
          <t>Primary Calibration Standard Name</t>
        </is>
      </c>
      <c r="B9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90" s="5" t="inlineStr">
        <is>
          <t>Basic</t>
        </is>
      </c>
      <c r="D90" s="9" t="inlineStr">
        <is>
          <t>Editable</t>
        </is>
      </c>
      <c r="E90" s="1" t="inlineStr">
        <is>
          <t>Text (free)</t>
        </is>
      </c>
      <c r="F90" s="1" t="inlineStr">
        <is>
          <t>e.g., 'NIST SRM 612 (Jochum et al. 2011, doi:10.1111/j.1751-908X.2011.00120.x)' | 'USGS BCR-2G (GeoReM preferred values, georem.mpch-mainz.gwdg.de)'</t>
        </is>
      </c>
      <c r="G90" s="1" t="n"/>
      <c r="H90" s="7" t="inlineStr">
        <is>
          <t>Y</t>
        </is>
      </c>
      <c r="I90" s="7" t="inlineStr">
        <is>
          <t>Y</t>
        </is>
      </c>
      <c r="J90" s="7" t="inlineStr">
        <is>
          <t>Y</t>
        </is>
      </c>
      <c r="K90" s="1">
        <f>(14-COUNTIF(L90:Y90,"N"))/(14)</f>
        <v/>
      </c>
      <c r="L90" s="1" t="inlineStr">
        <is>
          <t>North Chile Filomena (IIAB iron meteorite; Wasson et al. 1989) for Fe/Co/Ni/Cu/Ga/Ge/As/W/Au; Hoba (IVB; Walker et al. 2008) for Ru/Rh/Pd/Re/Os/Ir/Pt; NIST SRM 1263a V-Cr steel (Campbell &amp; Humayun 2005) for V/Cr/Fe/Co/Ni/Cu/As/Mo/W/Au</t>
        </is>
      </c>
      <c r="M90" s="1" t="inlineStr">
        <is>
          <t>Multiple glass GRMs used together for linear regression external calibration: NIST SRM 612, NIST SRM 614, USGS GSD-1G (synthetic), USGS GSE-1G (synthetic), USGS BHVO-2G, USGS BIR-1G (natural basalt glasses)</t>
        </is>
      </c>
      <c r="N90" s="1" t="inlineStr">
        <is>
          <t>Same glass GRM set as mapping for Run 1; expanded set additionally includes MPI-DING KL2-G, ML3B-G, StHs6/80-G, T1-G, ATHO-G, BM90/21-G, GOR128-G, GOR132-G for Run 2 trace elements</t>
        </is>
      </c>
      <c r="O90" s="1" t="inlineStr">
        <is>
          <t>MPI-DING and USGS glass GRMs (measured at beginning and repeatedly at end of each session; multipoint calibration)</t>
        </is>
      </c>
      <c r="P90" s="1" t="inlineStr">
        <is>
          <t>Multiple natural rock glass GRMs: USGS GSE-1G, GSD-1G (synthetic basaltic), BIR-1G, BHVO-2G, BCR-2G (basaltic), NKT-1G (nephelinitic); MPI-DING GOR128-G, GOR132-G (komatiitic), ML3B-G, KL2-G (basaltic), ATHO-G (rhyolitic), StHs6/80-G (andesitic), T1-G (dioritic). Note: GSE-1G and GSD-1G not used for trace element calibration due to anomalous concentrations</t>
        </is>
      </c>
      <c r="Q90" s="1" t="inlineStr">
        <is>
          <t>NIST SRM 612 (glass, REE reference; Jochum et al. 2011); natural minerals as ME references: augite (Morogoro, Tanzania, Nichika Inc.) for Mg, Al, Fe; olivine (Horoman, Hokkaido) for Mg, Si, Fe; Cl-apatite (Chichibu, Saitama) for Cl; titanite (Mt Dromedary Complex) for Ca, Ti</t>
        </is>
      </c>
      <c r="R90" s="1" t="inlineStr">
        <is>
          <t>USGS standard glasses BCR-2g, BHVO-2g, and BIR-1g; preferred values from GeoReM website</t>
        </is>
      </c>
      <c r="S90" s="1" t="inlineStr">
        <is>
          <t>Warburton Range (IVB iron meteorite; Walker et al. 2008) — used as primary external standard and for calibration curve method</t>
        </is>
      </c>
      <c r="T90" s="1" t="inlineStr">
        <is>
          <t>NIST SRM 612 glass (Jochum et al. 2011) + North Chile Filomena iron meteorite (Wasson et al. 1989) — used together with yield correction in iolite 3D DRS</t>
        </is>
      </c>
      <c r="U90" s="1" t="inlineStr">
        <is>
          <t>NIST SRM 612 (Jochum et al. 2011) + North Chile Filomena — same as spot protocol</t>
        </is>
      </c>
      <c r="V9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c r="W90" s="1" t="inlineStr">
        <is>
          <t>NIST SRM 612 + NIST SRM 614 (non-matrix-matched external standards); self-made BHVO-2 lithium borate glass (matrix-matched) tested as alternative but NIST 612+614 found sufficient with fs laser</t>
        </is>
      </c>
      <c r="X90" s="1" t="inlineStr">
        <is>
          <t>NIST 610 (primary external standard; Jochum et al. 2011); Si from EMP as IS</t>
        </is>
      </c>
      <c r="Y90" s="1" t="inlineStr">
        <is>
          <t>NIST 610 (primary external standard); Fe from EMP as IS</t>
        </is>
      </c>
    </row>
    <row r="91">
      <c r="A91" s="1" t="inlineStr">
        <is>
          <t>Secondary Reference Materials</t>
        </is>
      </c>
      <c r="B91"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91" s="5" t="inlineStr">
        <is>
          <t>Basic</t>
        </is>
      </c>
      <c r="D91" s="9" t="inlineStr">
        <is>
          <t>Editable</t>
        </is>
      </c>
      <c r="E91" s="1" t="inlineStr">
        <is>
          <t>Text (free)</t>
        </is>
      </c>
      <c r="F91" s="1" t="inlineStr">
        <is>
          <t>e.g., 'NIST SRM 610 (Jochum et al. 2011); GOR132-G (Jochum et al. 2006)' | 'BHVO-2G (GeoReM), BCR-2G (GeoReM)'</t>
        </is>
      </c>
      <c r="G91" s="1" t="n"/>
      <c r="H91" s="7" t="inlineStr">
        <is>
          <t>Y</t>
        </is>
      </c>
      <c r="I91" s="7" t="inlineStr">
        <is>
          <t>Y</t>
        </is>
      </c>
      <c r="J91" s="7" t="inlineStr">
        <is>
          <t>Y</t>
        </is>
      </c>
      <c r="K91" s="1">
        <f>(14-COUNTIF(L91:Y91,"N"))/(14)</f>
        <v/>
      </c>
      <c r="L91" s="1" t="inlineStr">
        <is>
          <t>Two natural clinopyroxenes (NHB-9, YY12-01) and one natural anorthite (YG4301) — see Chernonozhkin 2021 Chem. Geol. 562 (not present in this paper; standards used for Fe/Ru/etc. calibration)</t>
        </is>
      </c>
      <c r="M91" s="1" t="inlineStr">
        <is>
          <t>MPI-DING glasses: GOR132-G, StHs6/80-G, T1-G; USGS: BCR-2G, BHVO-2G — measured as unknowns alongside samples and compared to GeoReM preferred values (Table 1 and Section 3.3)</t>
        </is>
      </c>
      <c r="N91" s="1" t="inlineStr">
        <is>
          <t>Same GRM set measured as unknowns for accuracy assessment</t>
        </is>
      </c>
      <c r="O91" s="1" t="inlineStr">
        <is>
          <t>Same MPI-DING and USGS glasses measured as unknowns for accuracy assessment</t>
        </is>
      </c>
      <c r="P91" s="1" t="inlineStr">
        <is>
          <t>BHVO-2G and StHs6/80-G — selected as QC materials processed as secondary unknowns in every analytical session (measured in 8 and 6 sessions respectively over 1 year)</t>
        </is>
      </c>
      <c r="Q91" s="1" t="inlineStr">
        <is>
          <t>BHVO-2G processed as unknown for accuracy assessment (Table 2)</t>
        </is>
      </c>
      <c r="R91" s="1" t="inlineStr">
        <is>
          <t>BCR-2G, BHVO-2G, BIR-1G processed as unknowns alongside samples (same standards as calibration — in-session validation)</t>
        </is>
      </c>
      <c r="S91" s="1" t="inlineStr">
        <is>
          <t>Tawallah Valley (IVB iron meteorite; Walker et al. 2008) — measured as secondary/check standard alongside unknowns</t>
        </is>
      </c>
      <c r="T91" s="1" t="inlineStr">
        <is>
          <t>North Chile Filomena measured as unknown on different days over 4 months to assess intermediate precision (Table 3 and Fig. 2)</t>
        </is>
      </c>
      <c r="U91" s="1" t="inlineStr">
        <is>
          <t>North Chile and NIST SRM 612 measured before and after mapping session as QC materials</t>
        </is>
      </c>
      <c r="V91" s="1" t="inlineStr">
        <is>
          <t>Natural clinopyroxenes NHB-9 and YY12-01 (reference values given in Table 2); anorthite YG4301 — measured as unknowns for 87Sr/86Sr data quality evaluation</t>
        </is>
      </c>
      <c r="W91" s="1" t="inlineStr">
        <is>
          <t>AC-E (granite, CRPG), GSR-1 (granite, NRCG), JB-1b (basalt, GSJ), GSR-3 (basalt, NRCG), AGV-2 (andesite, USGS), W-2A (diabase, USGS) — 6 GRMs covering mafic to felsic rock types analyzed as unknowns; also NWA14526 (lunar basalt) and NWA13190 (shergottite) compared with SN-ICP-MS</t>
        </is>
      </c>
      <c r="X91" s="1" t="inlineStr">
        <is>
          <t>NIST SRM 612 and BCR-2G (monitoring standards measured in same sessions)</t>
        </is>
      </c>
      <c r="Y91" s="1" t="inlineStr">
        <is>
          <t>NIST SRM 612 and BCR-2G (same monitoring standard set as glass protocol)</t>
        </is>
      </c>
    </row>
    <row r="92">
      <c r="A92" s="1" t="inlineStr">
        <is>
          <t>Detection Limit</t>
        </is>
      </c>
      <c r="B92"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92" s="10" t="inlineStr">
        <is>
          <t>Advanced</t>
        </is>
      </c>
      <c r="D92" s="5" t="inlineStr">
        <is>
          <t>Basic</t>
        </is>
      </c>
      <c r="E92" s="1" t="inlineStr">
        <is>
          <t>Numeric (ppm or wt%)</t>
        </is>
      </c>
      <c r="F92" s="1" t="inlineStr">
        <is>
          <t>e.g., '0.003 ng g⁻¹ (La), 0.005 ng g⁻¹ (Ce) (3σ background; Longerich et al. 1996)' | 'Range: 0.005–23.5 µg g⁻¹ across all measured isotopes (Pettke et al. 2012)'</t>
        </is>
      </c>
      <c r="G92" s="1" t="inlineStr">
        <is>
          <t>Analyte specific</t>
        </is>
      </c>
      <c r="H92" s="7" t="inlineStr">
        <is>
          <t>Y</t>
        </is>
      </c>
      <c r="I92" s="7" t="inlineStr">
        <is>
          <t>Y</t>
        </is>
      </c>
      <c r="J92" s="7" t="inlineStr">
        <is>
          <t>Y</t>
        </is>
      </c>
      <c r="K92" s="1">
        <f>(14-COUNTIF(L92:Y92,"N"))/(14)</f>
        <v/>
      </c>
      <c r="L92" s="1" t="inlineStr">
        <is>
          <t>LODs not formally reported; all concentrations above detection limits except noted (Cr in some irons below LOD)</t>
        </is>
      </c>
      <c r="M92" s="1" t="inlineStr">
        <is>
          <t>LODs reported in Table E1 (Appendix E) for 2D mapping: average of all individual pixel LODs (Na=1, Nb=10 per Longerich et al. 1996)</t>
        </is>
      </c>
      <c r="N92" s="1" t="inlineStr">
        <is>
          <t>LODs reported in Table 1 for line scan + spot trace elements: Na=24, Nb=5 per Longerich et al. 1996; LOQ = 10SD criterion</t>
        </is>
      </c>
      <c r="O92" s="1" t="inlineStr">
        <is>
          <t>N (LODs not separately reported for phosphate analyses)</t>
        </is>
      </c>
      <c r="P92" s="1" t="inlineStr">
        <is>
          <t>LODs range 0.1–10 µg g⁻¹ for most elements using 5×5 µm spot; down to 10 ng g⁻¹ for some trace elements (REEs). Reported for areas 0.004–0.05 mm²; LODs calculated per Pettke et al. (2012)</t>
        </is>
      </c>
      <c r="Q92" s="1" t="inlineStr">
        <is>
          <t>20–50% uncertainty for individual REE data points; Lu measured down to ~10 ng g⁻¹ (0.4× CI-normalized); LODs not explicitly tabulated but implied by REE abundance levels achieved</t>
        </is>
      </c>
      <c r="R92" s="1" t="inlineStr">
        <is>
          <t>N (LODs not stated; concentrations reported for all nuclides above background)</t>
        </is>
      </c>
      <c r="S92" s="1" t="inlineStr">
        <is>
          <t>N (LODs not formally stated)</t>
        </is>
      </c>
      <c r="T92" s="1" t="inlineStr">
        <is>
          <t>LODs in µg g⁻¹ (median from Table 3): As 2, Au 0.1, Co 2, Cr 19, Cu 0.8, Fe 5300, Ga 0.1, Ge 0.2, Ir 0.04, Ni 60, Os 0.09, Pd 0.06, Pt 0.4, Re 0.02, Rh 0.05, Ru 0.3, W 0.09; calculated per Longerich et al. (1996) in iolite 4</t>
        </is>
      </c>
      <c r="U92" s="1" t="inlineStr">
        <is>
          <t>N (LODs not separately reported for mapping)</t>
        </is>
      </c>
      <c r="V92" s="1" t="inlineStr">
        <is>
          <t>N (LODs not applicable to isotope ratio measurements; precision and accuracy of 87Sr/86Sr and 87Rb/86Sr assessed instead)</t>
        </is>
      </c>
      <c r="W92" s="1" t="inlineStr">
        <is>
          <t>LODs for 32 elements in Li-borate glass BHVO-2: 0.005–23.5 µg g⁻¹ (dilution-limited; much higher than undiluted glass LODs); LODs for NIST 610: 0.007–0.45 µg g⁻¹; LOQ = 3.3 × LOD (Pettke 2012) for most elements; LOQ for pollution elements = blank + 10SD (Gold Book IUPAC)</t>
        </is>
      </c>
      <c r="X92" s="1" t="inlineStr">
        <is>
          <t>Detection limits for Au ~0.01 ppm; Cu ~0.1 ppm in silicate melt (stated in paper)</t>
        </is>
      </c>
      <c r="Y92" s="1" t="inlineStr">
        <is>
          <t>Same LODs as silicate glass protocol for Au and Cu</t>
        </is>
      </c>
    </row>
    <row r="93">
      <c r="A93" s="1" t="inlineStr">
        <is>
          <t>Detection Limit Method</t>
        </is>
      </c>
      <c r="B93" s="1" t="inlineStr">
        <is>
          <t>Reference or description of the method used to calculate session detection limits. Mandatory at analysis level. Must be consistent with the method applied to generate the Detection Limit values reported above.</t>
        </is>
      </c>
      <c r="C93" s="10" t="inlineStr">
        <is>
          <t>Advanced</t>
        </is>
      </c>
      <c r="D93" s="5" t="inlineStr">
        <is>
          <t>Basic</t>
        </is>
      </c>
      <c r="E93" s="1" t="inlineStr">
        <is>
          <t>Text / URI</t>
        </is>
      </c>
      <c r="F93" s="1" t="inlineStr">
        <is>
          <t>e.g., '3σ of background ion counts per Longerich et al. (1996), doi:10.1039/ja9961100899' | 'Sample-individual LOD per Pettke et al. (2012), doi:10.1016/j.oregeorev.2011.11.001'</t>
        </is>
      </c>
      <c r="G93" s="1" t="n"/>
      <c r="H93" s="7" t="inlineStr">
        <is>
          <t>Y</t>
        </is>
      </c>
      <c r="I93" s="7" t="inlineStr">
        <is>
          <t>Y</t>
        </is>
      </c>
      <c r="J93" s="7" t="inlineStr">
        <is>
          <t>Y</t>
        </is>
      </c>
      <c r="K93" s="1">
        <f>(14-COUNTIF(L93:Y93,"N"))/(14)</f>
        <v/>
      </c>
      <c r="L93" s="1" t="inlineStr">
        <is>
          <t>N (not formally stated)</t>
        </is>
      </c>
      <c r="M93" s="1" t="inlineStr">
        <is>
          <t>Longerich et al. (1996): LOD = (3SD/S) × √(1/Nb + 1/Na)</t>
        </is>
      </c>
      <c r="N93" s="1" t="inlineStr">
        <is>
          <t>Longerich et al. (1996); LOQ = 10SD criterion (same equation)</t>
        </is>
      </c>
      <c r="O93" s="1" t="inlineStr">
        <is>
          <t>N (not formally stated)</t>
        </is>
      </c>
      <c r="P93" s="1" t="inlineStr">
        <is>
          <t>Pettke et al. (2012): LOD = (3.29 × √(Rbkg × DT × (Nan + Nan²/Nbkg)) + 2.71) / (Nan × DT × S)</t>
        </is>
      </c>
      <c r="Q93" s="1" t="inlineStr">
        <is>
          <t>N (counting statistics implied; exact LOD formula not stated)</t>
        </is>
      </c>
      <c r="R93" s="1" t="inlineStr">
        <is>
          <t>N</t>
        </is>
      </c>
      <c r="S93" s="1" t="inlineStr">
        <is>
          <t>N</t>
        </is>
      </c>
      <c r="T93" s="1" t="inlineStr">
        <is>
          <t>Longerich et al. (1996) — implemented in iolite 4; sample-individual LOD calculated per analysis</t>
        </is>
      </c>
      <c r="U93" s="1" t="inlineStr">
        <is>
          <t>N (LODs not separately reported for mapping)</t>
        </is>
      </c>
      <c r="V93" s="1" t="inlineStr">
        <is>
          <t>N (not applicable; isotope ratio measurements)</t>
        </is>
      </c>
      <c r="W93" s="1" t="inlineStr">
        <is>
          <t>Pettke (2012) for most elements: LOD = (3.29 × √(Rbkg × DT × ...) + 2.71) / (Nan × DT × S); LOQ for pollution elements = blank value + 10SD (IUPAC Gold Book)</t>
        </is>
      </c>
      <c r="X93" s="1" t="inlineStr">
        <is>
          <t>N (stated as "detection limits" without specific formula)</t>
        </is>
      </c>
      <c r="Y93" s="1" t="inlineStr">
        <is>
          <t>N</t>
        </is>
      </c>
    </row>
    <row r="94">
      <c r="A94" s="1" t="inlineStr">
        <is>
          <t>Limit of Quantification (LOQ) Method</t>
        </is>
      </c>
      <c r="B94"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94" s="10" t="inlineStr">
        <is>
          <t>Advanced</t>
        </is>
      </c>
      <c r="D94" s="5" t="inlineStr">
        <is>
          <t>Basic</t>
        </is>
      </c>
      <c r="E94" s="1" t="inlineStr">
        <is>
          <t>Text / URI</t>
        </is>
      </c>
      <c r="F94" s="1" t="inlineStr">
        <is>
          <t>e.g., 'LOQ = 10 × SD of background counts (10σ criterion)' | 'LOQ = 3.3 × LOD per IUPAC Gold Book' | 'LOQ = blank value + 10 SD for pollution elements (V, Ba, U)'</t>
        </is>
      </c>
      <c r="G94" s="1" t="n"/>
      <c r="H94" s="7" t="inlineStr">
        <is>
          <t>Y</t>
        </is>
      </c>
      <c r="I94" s="7" t="inlineStr">
        <is>
          <t>Y</t>
        </is>
      </c>
      <c r="J94" s="7" t="inlineStr">
        <is>
          <t>Y</t>
        </is>
      </c>
      <c r="K94" s="1">
        <f>(14-COUNTIF(L94:Y94,"N"))/(14)</f>
        <v/>
      </c>
      <c r="L94" s="1" t="inlineStr">
        <is>
          <t>N</t>
        </is>
      </c>
      <c r="M94" s="1" t="inlineStr">
        <is>
          <t>N</t>
        </is>
      </c>
      <c r="N94" s="1" t="inlineStr">
        <is>
          <t>LOQ = 10SD of background counts (10σ criterion; Chernonozhkin et al. 2021)</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LOQ = 3.3 × LOD per Pettke (2012) for most elements; LOQ = blank value + 10SD per IUPAC Gold Book for pollution elements (V, Co, Zn, Ba, La, Ce, Ta, U) where blank contribution is significant</t>
        </is>
      </c>
      <c r="X94" s="1" t="inlineStr">
        <is>
          <t>N</t>
        </is>
      </c>
      <c r="Y94" s="1" t="inlineStr">
        <is>
          <t>N</t>
        </is>
      </c>
    </row>
    <row r="95">
      <c r="A95" s="1" t="inlineStr">
        <is>
          <t>Within-Session Analytical Precision and Assessment Method</t>
        </is>
      </c>
      <c r="B95"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95" s="10" t="inlineStr">
        <is>
          <t>Advanced</t>
        </is>
      </c>
      <c r="D95" s="5" t="inlineStr">
        <is>
          <t>Basic</t>
        </is>
      </c>
      <c r="E95" s="1" t="inlineStr">
        <is>
          <t>Text (free)</t>
        </is>
      </c>
      <c r="F95" s="1" t="inlineStr">
        <is>
          <t>e.g., '1σ RSD = 1.5% for Ba, 2.3% for La (n=5 on NIST SRM 612 per session)' | 'Mapping: 4% 1σ RSD across 3 GRM map areas at session start and end (n=3)'</t>
        </is>
      </c>
      <c r="G95" s="1" t="inlineStr">
        <is>
          <t>Analyte specific</t>
        </is>
      </c>
      <c r="H95" s="7" t="inlineStr">
        <is>
          <t>Y</t>
        </is>
      </c>
      <c r="I95" s="7" t="inlineStr">
        <is>
          <t>Y</t>
        </is>
      </c>
      <c r="J95" s="7" t="inlineStr">
        <is>
          <t>Y</t>
        </is>
      </c>
      <c r="K95" s="1">
        <f>(14-COUNTIF(L95:Y95,"N"))/(14)</f>
        <v/>
      </c>
      <c r="L95" s="1" t="inlineStr">
        <is>
          <t>N (within-session precision not formally assessed; standard deviation across raster scans reported per element)</t>
        </is>
      </c>
      <c r="M95" s="1" t="inlineStr">
        <is>
          <t>Intermediate precision for mapping: most elements at ≥10 µg g⁻¹: 5–15% RSD; elements &lt;10 µg g⁻¹: 5–30% RSD; assessed from repeated GRM mapping in 8 sessions over 1 year (n=8 for each element)</t>
        </is>
      </c>
      <c r="N95" s="1" t="inlineStr">
        <is>
          <t>LOD calculated per analysis (Na=24, Nb=5); precision not formally reported as separate metric</t>
        </is>
      </c>
      <c r="O95" s="1" t="inlineStr">
        <is>
          <t>N (precision not formally reported for phosphate analyses)</t>
        </is>
      </c>
      <c r="P95" s="1" t="inlineStr">
        <is>
          <t>Intermediate precision: 5–15% RSD for elements ≥10 µg g⁻¹; 5–30% RSD for elements &lt;10 µg g⁻¹ (assessed from repeated GRM mapping over 1 year, n=8)</t>
        </is>
      </c>
      <c r="Q95" s="1" t="inlineStr">
        <is>
          <t>20–50% uncertainty for individual REE data points (dominated by counting statistics near LOD; grain areas 40×40 µm² represent averaging of ≥10 pixels)</t>
        </is>
      </c>
      <c r="R95" s="1" t="inlineStr">
        <is>
          <t>N (within-session precision not formally assessed)</t>
        </is>
      </c>
      <c r="S95" s="1" t="inlineStr">
        <is>
          <t>Analytical uncertainties: 2SE of individual spot measurements reported alongside data</t>
        </is>
      </c>
      <c r="T95" s="1" t="inlineStr">
        <is>
          <t>RSD &lt;15% for most elements in Arraias meteorite under repeatability conditions (n=20 spot analyses); Cr: 20%, Ir: 16%, Os: 20% RSD; assessed by repeated analysis of same meteorite in one session</t>
        </is>
      </c>
      <c r="U95" s="1" t="inlineStr">
        <is>
          <t>N (within-session precision for mapping not separately assessed)</t>
        </is>
      </c>
      <c r="V95"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c r="W95" s="1" t="inlineStr">
        <is>
          <t>Analytical precision (RSD) within 10% for most of 32 trace elements in 6 silicate GRMs (verified by homogeneity index assessment across 9 spots per disk)</t>
        </is>
      </c>
      <c r="X95" s="1" t="inlineStr">
        <is>
          <t>N (within-session precision not separately reported)</t>
        </is>
      </c>
      <c r="Y95" s="1" t="inlineStr">
        <is>
          <t>N</t>
        </is>
      </c>
    </row>
    <row r="96">
      <c r="A96" s="1" t="inlineStr">
        <is>
          <t>Between-Session (Long-Term) Analytical Precision and Assessment Method</t>
        </is>
      </c>
      <c r="B96"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96" s="10" t="inlineStr">
        <is>
          <t>Advanced</t>
        </is>
      </c>
      <c r="D96" s="5" t="inlineStr">
        <is>
          <t>Basic</t>
        </is>
      </c>
      <c r="E96" s="1" t="inlineStr">
        <is>
          <t>Text (free)</t>
        </is>
      </c>
      <c r="F96" s="1" t="inlineStr">
        <is>
          <t>e.g., '2σ RSD = 3% for Eu/Eu* on GOR132-G across 12 sessions over 8 months' | '1σ RSD = 2% for most REEs on BHVO-2G across 17 sessions over 3 years (n=85 analyses)'</t>
        </is>
      </c>
      <c r="G96" s="1" t="inlineStr">
        <is>
          <t>Analyte specific</t>
        </is>
      </c>
      <c r="H96" s="7" t="inlineStr">
        <is>
          <t>Y</t>
        </is>
      </c>
      <c r="I96" s="7" t="inlineStr">
        <is>
          <t>Y</t>
        </is>
      </c>
      <c r="J96" s="7" t="inlineStr">
        <is>
          <t>Y</t>
        </is>
      </c>
      <c r="K96" s="1">
        <f>(14-COUNTIF(L96:Y96,"N"))/(14)</f>
        <v/>
      </c>
      <c r="L96" s="1" t="inlineStr">
        <is>
          <t>N</t>
        </is>
      </c>
      <c r="M96" s="1" t="inlineStr">
        <is>
          <t>N</t>
        </is>
      </c>
      <c r="N96" s="1" t="inlineStr">
        <is>
          <t>N</t>
        </is>
      </c>
      <c r="O96" s="1" t="inlineStr">
        <is>
          <t>N</t>
        </is>
      </c>
      <c r="P96" s="1" t="inlineStr">
        <is>
          <t>Intermediate precision (between-session): 5–15% RSD for most elements ≥10 µg g⁻¹ over 8 sessions in 1 year; down to 3% RSD for some elements; assessed from repeated BHVO-2G GRM mapping (n=8 sessions)</t>
        </is>
      </c>
      <c r="Q96" s="1" t="inlineStr">
        <is>
          <t>N</t>
        </is>
      </c>
      <c r="R96" s="1" t="inlineStr">
        <is>
          <t>N</t>
        </is>
      </c>
      <c r="S96" s="1" t="inlineStr">
        <is>
          <t>N</t>
        </is>
      </c>
      <c r="T96" s="1" t="inlineStr">
        <is>
          <t>Intermediate precision: RSD ≤20% for most elements assessed over multiple days on North Chile iron meteorite measured as unknown (n multiple days over 4 months)</t>
        </is>
      </c>
      <c r="U96" s="1" t="inlineStr">
        <is>
          <t>N</t>
        </is>
      </c>
      <c r="V96" s="1" t="inlineStr">
        <is>
          <t>N</t>
        </is>
      </c>
      <c r="W96" s="1" t="inlineStr">
        <is>
          <t>N</t>
        </is>
      </c>
      <c r="X96" s="1" t="inlineStr">
        <is>
          <t>N</t>
        </is>
      </c>
      <c r="Y96" s="1" t="inlineStr">
        <is>
          <t>N</t>
        </is>
      </c>
    </row>
    <row r="97">
      <c r="A97" s="1" t="inlineStr">
        <is>
          <t>Analytical Accuracy and Assessment Method</t>
        </is>
      </c>
      <c r="B97"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97" s="10" t="inlineStr">
        <is>
          <t>Advanced</t>
        </is>
      </c>
      <c r="D97" s="5" t="inlineStr">
        <is>
          <t>Basic</t>
        </is>
      </c>
      <c r="E97" s="1" t="inlineStr">
        <is>
          <t>Text (free)</t>
        </is>
      </c>
      <c r="F97" s="1" t="inlineStr">
        <is>
          <t>e.g., 'Within ±5% of GeoReM preferred values for most REEs on GOR132-G (n=15); +8% for Nb (known matrix sensitivity)' | '±3% for all elements on BHVO-2G vs. GeoReM (n=20)'</t>
        </is>
      </c>
      <c r="G97" s="1" t="inlineStr">
        <is>
          <t>Analyte specific</t>
        </is>
      </c>
      <c r="H97" s="7" t="inlineStr">
        <is>
          <t>Y</t>
        </is>
      </c>
      <c r="I97" s="7" t="inlineStr">
        <is>
          <t>Y</t>
        </is>
      </c>
      <c r="J97" s="7" t="inlineStr">
        <is>
          <t>Y</t>
        </is>
      </c>
      <c r="K97" s="1">
        <f>(14-COUNTIF(L97:Y97,"N"))/(14)</f>
        <v/>
      </c>
      <c r="L9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M97" s="1" t="inlineStr">
        <is>
          <t>No systematic bias demonstrated; MgO+FeO+SiO₂+P₂O₅ oxide sums after mapping varied 95–99 wt% (average near 100%); LA-ICP-MS Fa# values compared to EMPA values for 8 PMG (Fig. 5A shows good agreement)</t>
        </is>
      </c>
      <c r="N97" s="1" t="inlineStr">
        <is>
          <t>Trace element accuracy verified against literature INAA and EPMA data; major elements verified by comparison with EMPA results from same section</t>
        </is>
      </c>
      <c r="O97" s="1" t="inlineStr">
        <is>
          <t>N (accuracy assessment not separately stated for phosphate analyses)</t>
        </is>
      </c>
      <c r="P97" s="1" t="inlineStr">
        <is>
          <t>No systematic bias observed for elements with well-characterized GRMs; W in StHs6/80-G: 0.35 ± 0.25 µg g⁻¹ (consensus: 0.47 ± 0.18 µg g⁻¹); W in BHVO-2G: 0.26 ± 0.18 µg g⁻¹ (consensus: 0.223 ± 0.058 µg g⁻¹) — both consistent with reference values</t>
        </is>
      </c>
      <c r="Q97" s="1" t="inlineStr">
        <is>
          <t>REE abundances in FG minerals consistent with previous SIMS data; group II REE patterns reproduced; BHVO-2G accuracy assessment: results within systematic uncertainties of calibration</t>
        </is>
      </c>
      <c r="R97" s="1" t="inlineStr">
        <is>
          <t>Sc: good agreement with Davis (1977) INAA values within measurement scatter; overall accuracy verified by comparison with literature INAA and SIMS data; Marjalahti used as in-session control (Mn deviation from reference value noted as 4.2% above Ryder 1984)</t>
        </is>
      </c>
      <c r="S97" s="1" t="inlineStr">
        <is>
          <t>N (accuracy formally assessed by comparison with internal standard; absolute accuracy not separately reported)</t>
        </is>
      </c>
      <c r="T9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97" s="1" t="inlineStr">
        <is>
          <t>N (mapping accuracy not separately assessed from spot protocol)</t>
        </is>
      </c>
      <c r="V97" s="1" t="inlineStr">
        <is>
          <t>87Sr/86Sr relative errors &lt;0.2‰ for reference materials with 87Rb/86Sr &lt;1 (12 of 14 reference materials); 87Rb/86Sr relative accuracy within ±3% for 11 glasses; exceptions: NIST 610 (−2.97%), NIST 612 (+2.02%), ATHO-G (+2.89%) — all within stated ±3% criterion</t>
        </is>
      </c>
      <c r="W97" s="1" t="inlineStr">
        <is>
          <t>Analytical results within 10% of reference values for most of 32 trace elements in 6 GRMs (mafic to felsic); precision (RSD) within 10% for most elements; lunar basalt (NWA14526) and shergottite (NWA13190) results compared with SN-ICP-MS and found reliable</t>
        </is>
      </c>
      <c r="X97" s="1" t="inlineStr">
        <is>
          <t>Au and Cu fully dissolved in most glasses (smooth signals); Au results consistent with Au solubility trends from literature; comparison with SN-ICP-MS (solution) for two extraterrestrial samples confirms reliability</t>
        </is>
      </c>
      <c r="Y97" s="1" t="inlineStr">
        <is>
          <t>Sulfide Au and Cu concentrations consistent with strong positive correlation with log fS₂ (Fig. 5A) confirming thermodynamic equilibrium; partitioning coefficients Dsulfide/melt consistent with literature (Li et al. 2019, 2021)</t>
        </is>
      </c>
    </row>
    <row r="98" ht="8" customHeight="1"/>
    <row r="99">
      <c r="A99" s="1" t="inlineStr">
        <is>
          <t>Additional Notes</t>
        </is>
      </c>
      <c r="B99" s="1" t="inlineStr">
        <is>
          <t>Any additional context about this protocol or analysis session not captured by the structured fields above. Use sparingly; structured fields are preferred for all information that can be formally categorised.</t>
        </is>
      </c>
      <c r="C99" s="10" t="inlineStr">
        <is>
          <t>Advanced</t>
        </is>
      </c>
      <c r="D99" s="10" t="inlineStr">
        <is>
          <t>Advanced</t>
        </is>
      </c>
      <c r="E99" s="1" t="inlineStr">
        <is>
          <t>Text (free)</t>
        </is>
      </c>
      <c r="F99" s="1" t="n"/>
      <c r="G99" s="1" t="n"/>
      <c r="H99" s="7" t="inlineStr">
        <is>
          <t>Y</t>
        </is>
      </c>
      <c r="I99" s="7" t="inlineStr">
        <is>
          <t>Y</t>
        </is>
      </c>
      <c r="J99" s="7" t="inlineStr">
        <is>
          <t>Y</t>
        </is>
      </c>
      <c r="K99" s="1" t="n"/>
      <c r="L99" s="1" t="inlineStr">
        <is>
          <t>Raster scans used for main element dataset (23 elements); separate spot analyses on 5 irons for more precise Ge abundances (150 µm spot, 50 Hz, 20 s); two different analysis modes represent distinct protocols but are reported in same paper</t>
        </is>
      </c>
      <c r="M99" s="1" t="inlineStr">
        <is>
          <t>Pallasite olivine 2D mapping in cool plasma mode (800 W) is a core methodological innovation; total of 8 PMG meteorites mapped; P-rich veinlets excluded from olivine averages; Fa# values verified against EMPA (Fig. 5A)</t>
        </is>
      </c>
      <c r="N99" s="1" t="inlineStr">
        <is>
          <t>Multi-run sequential design is the key methodological innovation: Run 1 (major elements, 30 µm, MR) provides Cr IS for Run 2 (trace elements, 130 µm, LR); pre-ablation pass removes surface contamination before Run 1</t>
        </is>
      </c>
      <c r="O99" s="1" t="inlineStr">
        <is>
          <t>Phosphate phase identification used LA-ICP-MS data combined with EMPA and µXRF (Fig. D9); merrillite, stanfieldite, farringtonite distinguished by REE patterns; oxide sum normalization applied to phosphate (not olivine IS approach)</t>
        </is>
      </c>
      <c r="P99" s="1" t="inlineStr">
        <is>
          <t>LA-ICP-ToF-MS used here (not scanning LA-ICP-MS); key capability: full mass range (Na–U) recorded simultaneously; pixel sizes 2–5 µm; demonstrates quantitative accuracy despite being often called "semi-quantitative"</t>
        </is>
      </c>
      <c r="Q99" s="1" t="inlineStr">
        <is>
          <t>msfsLA (multiple-spot femtosecond laser ablation) uses galvanometric scanner for rapid wide-area imaging; SUIA data reduction strategy not applicable here (no isotope ratio measurement); depth correction for ablation volume differences is methodological innovation</t>
        </is>
      </c>
      <c r="R99" s="1" t="inlineStr">
        <is>
          <t>Many instrument parameters lost during extended lab shutdown; 75 µm spot size in medium resolution mode on sector-field ICP-MS is unusual combination for olivine trace elements; 25 Mg IS from EPMA is standard approach</t>
        </is>
      </c>
      <c r="S99" s="1" t="inlineStr">
        <is>
          <t>fs laser (260 nm Ti:sapphire) essential for HSE measurement in metal (reduces elemental fractionation and matrix effects); IVB iron meteorite standards (Warburton Range + Tawallah Valley) as matrix-matched standards for iron meteorite metal</t>
        </is>
      </c>
      <c r="T99" s="1" t="inlineStr">
        <is>
          <t>Key innovations: (1) use of two measurement standards (NIST SRM 612 + North Chile) with yield correction in iolite 3D DRS; (2) Fe+Ni+Co=100% normalization eliminates need for EPMA IS; Cr results not quantitative due to argide interferences</t>
        </is>
      </c>
      <c r="U99" s="1" t="inlineStr">
        <is>
          <t>Elemental mapping used as classification tool even without prior knowledge of structural variations (kamacite vs. plessite); demonstrates LA-ICP-MS mapping applicability for iron meteorite classification</t>
        </is>
      </c>
      <c r="V99" s="1" t="inlineStr">
        <is>
          <t>LA-MC-ICP-MS transect mode with Rb-Sr isotope ratio measurement; SUIA (Smallest Unit Isochron Age) data reduction strategy developed for heterogeneous minerals; signal-smoothing device used to reduce short-term variability</t>
        </is>
      </c>
      <c r="W99"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X99" s="1" t="inlineStr">
        <is>
          <t>Analysis of quenched experimental glasses from high-pressure (1 GPa) piston-cylinder experiments; Au and Cu solubility measurements; smooth time-resolved signals indicate fully dissolved Au (no micronuggets)</t>
        </is>
      </c>
      <c r="Y99" s="1" t="inlineStr">
        <is>
          <t>Analysis of quenched experimental pyrrhotite (Fe₁₋ₓS) from same piston-cylinder experiments; 20 µm spot required due to small grain size (5–50 µm); same instrument and analytical session as glass protocol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2" t="inlineStr">
        <is>
          <t>Protocol-Level Tier</t>
        </is>
      </c>
      <c r="B1" s="12" t="inlineStr">
        <is>
          <t>Description</t>
        </is>
      </c>
      <c r="C1" s="12" t="inlineStr">
        <is>
          <t>Analysis-Level Tier</t>
        </is>
      </c>
      <c r="D1" s="12" t="inlineStr">
        <is>
          <t>Description</t>
        </is>
      </c>
    </row>
    <row r="2">
      <c r="A2" s="13" t="inlineStr">
        <is>
          <t>Basic</t>
        </is>
      </c>
      <c r="B2" s="1" t="inlineStr">
        <is>
          <t>Mandatory for protocol registration. Must be provided to register a valid protocol.</t>
        </is>
      </c>
      <c r="C2" s="14" t="inlineStr">
        <is>
          <t>Read-Only</t>
        </is>
      </c>
      <c r="D2" s="1" t="inlineStr">
        <is>
          <t>Directly imported from the registered protocol; cannot be changed by the analyst. Changing this value means running a different protocol.</t>
        </is>
      </c>
    </row>
    <row r="3">
      <c r="A3" s="15" t="inlineStr">
        <is>
          <t>Advanced</t>
        </is>
      </c>
      <c r="B3" s="1" t="inlineStr">
        <is>
          <t>Optional for protocol registration. Strongly recommended but not required.</t>
        </is>
      </c>
      <c r="C3" s="16" t="inlineStr">
        <is>
          <t>Editable</t>
        </is>
      </c>
      <c r="D3" s="1" t="inlineStr">
        <is>
          <t>Imported from the registered protocol but may be adjusted within protocol-defined bounds (e.g., daily tuning, minor software updates). Cannot be left void if the protocol-level tier is Basic.</t>
        </is>
      </c>
    </row>
    <row r="4">
      <c r="A4" s="17" t="inlineStr">
        <is>
          <t>N/A</t>
        </is>
      </c>
      <c r="B4" s="1" t="inlineStr">
        <is>
          <t>Not applicable at protocol level. This field captures analysis-level information only.</t>
        </is>
      </c>
      <c r="C4" s="13" t="inlineStr">
        <is>
          <t>Basic</t>
        </is>
      </c>
      <c r="D4" s="1" t="inlineStr">
        <is>
          <t>Mandatory user input at analysis time. Value comes from the analysis (procedure) itself, not the protocol.</t>
        </is>
      </c>
    </row>
    <row r="5">
      <c r="C5" s="15" t="inlineStr">
        <is>
          <t>Advanced</t>
        </is>
      </c>
      <c r="D5" s="1" t="inlineStr">
        <is>
          <t>Optional user input at analysis time. Recommended for complete and reproducible documentation.</t>
        </is>
      </c>
    </row>
    <row r="6">
      <c r="C6" s="17" t="inlineStr">
        <is>
          <t>N/A</t>
        </is>
      </c>
      <c r="D6" s="1" t="inlineStr">
        <is>
          <t>Not applicable at analysis level. This field is protocol-level only and is not reported in individual analysis records.</t>
        </is>
      </c>
    </row>
    <row r="9">
      <c r="A9" s="12" t="inlineStr">
        <is>
          <t>Mode Column</t>
        </is>
      </c>
      <c r="B9" s="12" t="inlineStr">
        <is>
          <t>Definition</t>
        </is>
      </c>
    </row>
    <row r="10">
      <c r="A10" s="18" t="inlineStr">
        <is>
          <t>Spot</t>
        </is>
      </c>
      <c r="B10" s="1" t="n"/>
    </row>
    <row r="11">
      <c r="A11" s="18" t="inlineStr">
        <is>
          <t>Transect</t>
        </is>
      </c>
      <c r="B11" s="1" t="n"/>
    </row>
    <row r="12">
      <c r="A12" s="18" t="inlineStr">
        <is>
          <t>Mapping</t>
        </is>
      </c>
      <c r="B12" s="1" t="n"/>
    </row>
    <row r="13">
      <c r="A13" s="17" t="inlineStr">
        <is>
          <t>Y</t>
        </is>
      </c>
      <c r="B13" s="1" t="inlineStr">
        <is>
          <t>This field applies to this analytical mode and should be reported.</t>
        </is>
      </c>
    </row>
    <row r="14">
      <c r="A14" s="17" t="inlineStr">
        <is>
          <t>N</t>
        </is>
      </c>
      <c r="B14"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2026-05-06T04:06:22Z</dcterms:created>
  <dcterms:modified xmlns:dcterms="http://purl.org/dc/terms/" xmlns:xsi="http://www.w3.org/2001/XMLSchema-instance" xsi:type="dcterms:W3CDTF">2026-05-06T04:06:22Z</dcterms:modified>
</cp:coreProperties>
</file>
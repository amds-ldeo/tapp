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PP" sheetId="1" state="visible" r:id="rId3"/>
    <sheet name="Legend"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<sst xmlns="http://schemas.openxmlformats.org/spreadsheetml/2006/main" count="1072" uniqueCount="634">
  <si>
    <t xml:space="preserve">Metadata Item</t>
  </si>
  <si>
    <t xml:space="preserve">Description / Purpose</t>
  </si>
  <si>
    <t xml:space="preserve">Basic/Advanced</t>
  </si>
  <si>
    <t xml:space="preserve">Data Type</t>
  </si>
  <si>
    <t xml:space="preserve">Example/Allowed Content</t>
  </si>
  <si>
    <t xml:space="preserve">Last update: 04/23/2026</t>
  </si>
  <si>
    <t xml:space="preserve">Zhang et al. 2022
(GCA 323)
Iron meteorites
LA-ICP-MS (raster)</t>
  </si>
  <si>
    <t xml:space="preserve">Chernonozhkin et al. 2021
(Chem Geol 562)
Pallasite olivine/phosphate
LA-ICP-MS (spot + mapping)</t>
  </si>
  <si>
    <t xml:space="preserve">Masuda et al. 2024
(M&amp;PS 59)
CAI minerals
fsLA-ICP-MS (imaging)</t>
  </si>
  <si>
    <t xml:space="preserve">Mittlefehldt 2024
Appendix A
Pallasite olivine/chromite
LA-ICP-MS (spot)</t>
  </si>
  <si>
    <t xml:space="preserve">Nakanishi et al. 2022
(GCA 319)
CR chondrite metals
fsLA-ICP-MS (spot)</t>
  </si>
  <si>
    <t xml:space="preserve">Chernonozhkin et al. 2024
(JAAS 39)
Micrometeorites (cosmic spherules)
LA-ICP-ToF-MS (mapping)</t>
  </si>
  <si>
    <t xml:space="preserve">Liu et al. 2024
(JAAS 39)
Extraterrestrial samples in flux fusion glass
fs-LA-ICP-MS (spot)</t>
  </si>
  <si>
    <t xml:space="preserve">Liu et al. 2025
(GCA 393)
Experimental glasses &amp; sulfides
LA-ICP-MS (spot)</t>
  </si>
  <si>
    <t xml:space="preserve">Navarro et al. 2024
(ACS ESC 8)
Iron meteorites
LA-ICP-SFMS (spot + mapping)</t>
  </si>
  <si>
    <t xml:space="preserve">Zhang et al. 2022
(At. Spectrosc. 43)
Lunar meteorite minerals
LA-MC-ICP-MS (line scan)</t>
  </si>
  <si>
    <t xml:space="preserve">1. Method Identification</t>
  </si>
  <si>
    <t xml:space="preserve">Method Name</t>
  </si>
  <si>
    <t xml:space="preserve">A short descriptive name for this analytical method, with version number. Should include instrument, technique, analyte, and measured chemical variable.</t>
  </si>
  <si>
    <t xml:space="preserve">Basic</t>
  </si>
  <si>
    <t xml:space="preserve">Text (free)</t>
  </si>
  <si>
    <t xml:space="preserve">e.g., 'LA-ICP-MS Trace Elements Glass v1'</t>
  </si>
  <si>
    <t xml:space="preserve">N</t>
  </si>
  <si>
    <t xml:space="preserve">Technique</t>
  </si>
  <si>
    <t xml:space="preserve">Top-level analytical technique identifier.</t>
  </si>
  <si>
    <t xml:space="preserve">Controlled list</t>
  </si>
  <si>
    <t xml:space="preserve">LA-ICP-MS | LA-ICP-OES | LA-MC-ICP-MS | Others: specify</t>
  </si>
  <si>
    <t xml:space="preserve">LA-ICP-MS</t>
  </si>
  <si>
    <t xml:space="preserve">fs-LA-ICP-MS</t>
  </si>
  <si>
    <t xml:space="preserve">LA-ICP-ToF-MS</t>
  </si>
  <si>
    <t xml:space="preserve">LA-ICP-SFMS (sector-field)</t>
  </si>
  <si>
    <t xml:space="preserve">LA-MC-ICP-MS</t>
  </si>
  <si>
    <t xml:space="preserve">Method Author</t>
  </si>
  <si>
    <t xml:space="preserve">Author(s) of the method. Can be individual names or lab names.</t>
  </si>
  <si>
    <t xml:space="preserve">e.g., individual names or lab names</t>
  </si>
  <si>
    <t xml:space="preserve">Laboratory</t>
  </si>
  <si>
    <t xml:space="preserve">Name of the laboratory or institution hosting the instrument.</t>
  </si>
  <si>
    <t xml:space="preserve">e.g., 'Geo-/Cosmochemistry Lab, University of Cologne'</t>
  </si>
  <si>
    <t xml:space="preserve">FSU Plasma Analytical Facility, Florida State University</t>
  </si>
  <si>
    <t xml:space="preserve">Ghent University, Dept. of Chemistry, A&amp;MS Research Unit</t>
  </si>
  <si>
    <t xml:space="preserve">Dept. of Earth &amp; Planetary Sciences, Univ. of Tokyo</t>
  </si>
  <si>
    <t xml:space="preserve">Astromaterials Research and Exploration Science (ARES), Johnson Space Center, NASA</t>
  </si>
  <si>
    <t xml:space="preserve">Dept. of Earth &amp; Planetary Sciences, Tokyo Institute of Technology</t>
  </si>
  <si>
    <t xml:space="preserve">State Key Laboratory of Lithospheric Evolution, Institute of Geology &amp; Geophysics, Chinese Academy of Sciences, Beijing</t>
  </si>
  <si>
    <t xml:space="preserve">Guangzhou Institute of Geochemistry, CAS; Hefei University of Technology</t>
  </si>
  <si>
    <t xml:space="preserve">Isotope Geology Laboratory, University of Campinas (UNICAMP), Brazil</t>
  </si>
  <si>
    <t xml:space="preserve">State Key Laboratory of Geological Processes and Mineral Resources, China University of Geosciences, Wuhan</t>
  </si>
  <si>
    <t xml:space="preserve">Laboratory ID</t>
  </si>
  <si>
    <t xml:space="preserve">Persistent identifier for the laboratory, e.g., ROR ID.</t>
  </si>
  <si>
    <t xml:space="preserve">Advanced</t>
  </si>
  <si>
    <t xml:space="preserve">URI</t>
  </si>
  <si>
    <t xml:space="preserve">ROR ID or equivalent URI (https://ror.org/)</t>
  </si>
  <si>
    <t xml:space="preserve">Method Start Date</t>
  </si>
  <si>
    <t xml:space="preserve">First date this method configuration was used in production.</t>
  </si>
  <si>
    <t xml:space="preserve">Date</t>
  </si>
  <si>
    <t xml:space="preserve">YYYY-MM-DD, e.g., 2022-04-22</t>
  </si>
  <si>
    <t xml:space="preserve">Method DOI</t>
  </si>
  <si>
    <t xml:space="preserve">DOI or unique persistent identifier for this method, generated after submission to a data repository.</t>
  </si>
  <si>
    <t xml:space="preserve">URI / DOI</t>
  </si>
  <si>
    <t xml:space="preserve">e.g., http://doi.org/10.60520/IEDA/114187</t>
  </si>
  <si>
    <t xml:space="preserve">Funding Source</t>
  </si>
  <si>
    <t xml:space="preserve">Grants and other funding that supported instrument purchase, major upgrades, and personnel. Include grant IDs where applicable.</t>
  </si>
  <si>
    <t xml:space="preserve">e.g., 'DFG INST 216/1019-1 FUGG no. 665508'. Can also report "None"</t>
  </si>
  <si>
    <t xml:space="preserve">NSF EAR-1447404; NASA NNX15AJ25G</t>
  </si>
  <si>
    <t xml:space="preserve">JSPS 18H03714, 18H05437, 20H01972</t>
  </si>
  <si>
    <t xml:space="preserve">JSPS JP18H01289, JP20H00193</t>
  </si>
  <si>
    <t xml:space="preserve">FWO 'Excellence of Science' ET-HoME ID30442502; Montanuniversität Leoben; FWO postdoctoral fellowship FWO.3E0.2022.0048.01</t>
  </si>
  <si>
    <t xml:space="preserve">Strategic Priority Research Program (B) of CAS (XDB0710000); NSFC 42073022</t>
  </si>
  <si>
    <t xml:space="preserve">Strategic Priority Research Program (B) of CAS (XDB0840200); NSFC 92062222, 42073057, 42250710679, 42250202, 42273023</t>
  </si>
  <si>
    <t xml:space="preserve">CNSA pre-research project D020205; NSFC 41973013; Natural Science Foundation of Hubei Province 2020CFA045; MSFGPMR04 and MSFGPMR08</t>
  </si>
  <si>
    <t xml:space="preserve">Method Reference(s)</t>
  </si>
  <si>
    <t xml:space="preserve">DOI or URL for publications or reports describing or evaluating this method.</t>
  </si>
  <si>
    <t xml:space="preserve">e.g., doi:10.1016/j.oregeorev.2011.11.001</t>
  </si>
  <si>
    <t xml:space="preserve">Zhang et al. 2022, GCA 323, doi:10.1016/j.gca.2021.11.023</t>
  </si>
  <si>
    <t xml:space="preserve">Chernonozhkin et al. 2014 (JAAS); Chernonozhkin et al. 2017 (Anal Chim Acta)</t>
  </si>
  <si>
    <t xml:space="preserve">Maeda et al. 2023 (JAAS 38:369–381)</t>
  </si>
  <si>
    <t xml:space="preserve">Zhang et al. 2018, Chem. Geol. 479:10–21</t>
  </si>
  <si>
    <t xml:space="preserve">2. Samples</t>
  </si>
  <si>
    <t xml:space="preserve">Target Material</t>
  </si>
  <si>
    <t xml:space="preserve">General description of the material(s) analysed.</t>
  </si>
  <si>
    <t xml:space="preserve">Controlled list / Text</t>
  </si>
  <si>
    <t xml:space="preserve">Silicate glass | Feldspar | Pyroxene | Olivine | Oxide | Sulfide | Fluid inclusion | Melt inclusion | Whole rock | Other</t>
  </si>
  <si>
    <t xml:space="preserve">Fe-Ni metal (kamacite, taenite, plessite) in iron meteorites</t>
  </si>
  <si>
    <t xml:space="preserve">Olivine, phosphate (farringtonite, sarcopside) in pallasites</t>
  </si>
  <si>
    <t xml:space="preserve">Pyroxene, melilite, grossite, hibonite in fine-grained CAIs (Allende)</t>
  </si>
  <si>
    <t xml:space="preserve">Olivine, chromite in pallasites (Brahin, Fukang)</t>
  </si>
  <si>
    <t xml:space="preserve">Fe-Ni metal (kamacite, taenite) in CR2 chondrites</t>
  </si>
  <si>
    <t xml:space="preserve">Silicate glass (glassy mesostasis), olivine, magnetite in melted micrometeorites (cosmic spherules); geological glass reference materials (GRMs)</t>
  </si>
  <si>
    <t xml:space="preserve">Lithium borate fusion glasses prepared from extraterrestrial geological samples (lunar soil, meteorites) and silicate rock GRMs</t>
  </si>
  <si>
    <t xml:space="preserve">Quenched experimental silicate glass (dacitic composition) and pyrrhotite sulfide from high-pressure piston-cylinder experiments</t>
  </si>
  <si>
    <t xml:space="preserve">Fe-Ni metal (kamacite, plessite, taenite) in iron meteorites</t>
  </si>
  <si>
    <t xml:space="preserve">Plagioclase, pyroxene, ilmenite, glass in lunar mare basalt meteorites (NWA 10597, NWA 6950)</t>
  </si>
  <si>
    <t xml:space="preserve">Sample Form / Analytical Substrate</t>
  </si>
  <si>
    <t xml:space="preserve">Physical form of the material as it enters the ablation cell. This is a primary method-level discriminator because it controls ablation behaviour, matrix matching, and data reduction strategy.</t>
  </si>
  <si>
    <t xml:space="preserve">In situ (polished thin section or mount) | Pressed powder pellet | Nano-particulate pressed pellet | Li-borate fused glass | Flux-free fused glass | Natural glass fragment | Other: specify</t>
  </si>
  <si>
    <t xml:space="preserve">In situ (polished fragment mounted in epoxy, ~1 cm)</t>
  </si>
  <si>
    <t xml:space="preserve">In situ (polished thin section or epoxy mount, polished to 1 µm diamond paste)</t>
  </si>
  <si>
    <t xml:space="preserve">In situ (polished petrographic section, carbon-coated for SEM then cleaned)</t>
  </si>
  <si>
    <t xml:space="preserve">In situ (polished mount)</t>
  </si>
  <si>
    <t xml:space="preserve">In situ (polished thin section in epoxy)</t>
  </si>
  <si>
    <t xml:space="preserve">In situ (polished epoxy mount); progressively polished 1200–4000 grit SiC then 4000 grit diamond paste</t>
  </si>
  <si>
    <t xml:space="preserve">Li-borate fused glass (flux fusion); 10 mg sample fused with 350 mg Li₂B₄O₇ (1:35 dilution ratio)</t>
  </si>
  <si>
    <t xml:space="preserve">In situ (polished epoxy half-capsule, longitudinally sectioned after experiment)</t>
  </si>
  <si>
    <t xml:space="preserve">In situ (polished fragment ~1 cm in epoxy, cleaned with ultrapure water; mapping surface etched with 2% v/v HNO₃ in ethanol)</t>
  </si>
  <si>
    <t xml:space="preserve">In situ (polished thin section)</t>
  </si>
  <si>
    <t xml:space="preserve">Fusion Flux and Dilution Ratio</t>
  </si>
  <si>
    <t xml:space="preserve">For methods using fused glass, the flux type and sample:flux dilution ratio used to prepare the analytical glass. Low-dilution fusions improve signal strength but may risk crucible damage.</t>
  </si>
  <si>
    <t xml:space="preserve">e.g., 'Li-tetraborate, 1:2 (sample:flux)' | 'Li-metaborate/tetraborate 50:50, 1:5' | 'Not applicable (in situ)'</t>
  </si>
  <si>
    <t xml:space="preserve">N/A</t>
  </si>
  <si>
    <t xml:space="preserve">Li₂B₄O₇ flux (≥99.99% purity, Claisse); sample:flux ratio 1:35 (10 mg sample : 350 mg flux); NH₄Br releasing agent (13.3 µL of 0.36 g/mL solution); prepared as mini glass disk using M4 automatic fluxer (Claisse Fluxy)</t>
  </si>
  <si>
    <t xml:space="preserve">Sample Preparation Method</t>
  </si>
  <si>
    <t xml:space="preserve">Description of how samples were prepared for analysis (mounting, polishing, coating, fusion procedure, etc.).</t>
  </si>
  <si>
    <t xml:space="preserve">e.g., 'Polished thin section, uncoated' | '25 mm epoxy mount, polished to 0.25 µm diamond' | 'Double-fused Li-tetraborate bead, polished to 1 µm'</t>
  </si>
  <si>
    <t xml:space="preserve">Fragments ~1 cm mounted in epoxy, polished, and cleaned with ultrapure water</t>
  </si>
  <si>
    <t xml:space="preserve">Polished thin sections or epoxy mounts, polished to 1 µm diamond paste; carbon coating removed before LA-ICP-MS</t>
  </si>
  <si>
    <t xml:space="preserve">Petrographic polished thin sections; carbon-coated for SEM characterization, then coating removed before fs-LA-ICP-MS</t>
  </si>
  <si>
    <t xml:space="preserve">Olivine grain fragments washed in dilute HCl then triply distilled H₂O (ultrasonic); hand-picked pure olivine separates; subset of grains made into polished grain mounts for in-situ analyses; SEM imaging before LA to locate regions for analysis (avoid surface inclusions)</t>
  </si>
  <si>
    <t xml:space="preserve">Polished thin sections in epoxy</t>
  </si>
  <si>
    <t xml:space="preserve">Cast into epoxy mounts; progressively polished with 1200–4000 grit SiC sandpaper and 4000 grit diamond paste; gently re-polished after SEM-BSE (to remove C coating) before LA-ICP-ToF-MS</t>
  </si>
  <si>
    <t xml:space="preserve">Sample powders dried, weighed (10.00 ± 0.03 mg), mixed with Li₂B₄O₇ (350.0 ± 0.3 mg) and NH₄Br releasing agent in Pt–Au crucible; fused into mini glass disk (M4 automatic fluxer, Claisse Fluxy); surface cleaned with ethanol before LA analysis</t>
  </si>
  <si>
    <t xml:space="preserve">Capsules longitudinally sectioned with wire saw; one half mounted in epoxy resin; examined by optical microscopy; analysed by JEOL JXA-8230 EMP for major elements before LA-ICP-MS</t>
  </si>
  <si>
    <t xml:space="preserve">Fragments ~1 cm mounted in epoxy, polished, cleaned with ultrapure water; mapping surface etched with freshly prepared Nital solution (2% v/v HNO₃ in 99.5% ethanol)</t>
  </si>
  <si>
    <t xml:space="preserve">Standard thin section preparation; two-volume cell with constant distance between laser ablation position and aerosol extraction</t>
  </si>
  <si>
    <t xml:space="preserve">Pre-Ablation Surface Treatment</t>
  </si>
  <si>
    <t xml:space="preserve">Protocol applied immediately before each analysis to remove surface contamination or condition the sample surface. Distinct from general sample preparation.</t>
  </si>
  <si>
    <t xml:space="preserve">e.g., '20 pre-ablation pulses discarded before acquisition' | 'Vacuum desiccation ≥12 h, three He backfill cycles' | 'None'</t>
  </si>
  <si>
    <t xml:space="preserve">3 pre-ablation shots (not stated explicitly, inferred from typical protocol)</t>
  </si>
  <si>
    <t xml:space="preserve">3–5 pre-ablation pulses at same settings, discarded before acquisition</t>
  </si>
  <si>
    <t xml:space="preserve">3. Instrument &amp; Software</t>
  </si>
  <si>
    <t xml:space="preserve">Laser Manufacturer &amp; Model</t>
  </si>
  <si>
    <t xml:space="preserve">Manufacturer and model of the laser ablation system.</t>
  </si>
  <si>
    <t xml:space="preserve">e.g., 'ESI imageGEO193' | 'Coherent GeoLas HD' | 'RESOlution M-50' | 'New Wave Research UP-213'</t>
  </si>
  <si>
    <t xml:space="preserve">New Wave Research UP193FX (193 nm ArF excimer)</t>
  </si>
  <si>
    <t xml:space="preserve">Teledyne Photon Machines Analyte G2 (193 nm ArF excimer)</t>
  </si>
  <si>
    <t xml:space="preserve">Jupiter Solid Nebulizer fs laser (260 nm, Ti:sapphire-based femtosecond system)</t>
  </si>
  <si>
    <t xml:space="preserve">New Wave Research UP-193 (193 nm ArF excimer)</t>
  </si>
  <si>
    <t xml:space="preserve">IFRIT (Cyber Laser Inc.) Ti:sapphire femtosecond laser system</t>
  </si>
  <si>
    <t xml:space="preserve">Teledyne Photon Machines Iridia (193 nm ArF excimer) with Cobalt™ ablation chamber and low-dispersion tube-type cell (ARIS)</t>
  </si>
  <si>
    <t xml:space="preserve">High-repetition-rate GenesisGEO femtosecond laser (343 nm)</t>
  </si>
  <si>
    <t xml:space="preserve">Cetac Analyte HE (193 nm ArF excimer, Resonetic 193 nm ArF excimer at both institutes)</t>
  </si>
  <si>
    <t xml:space="preserve">Teledyne Excite 193 nm (ArF excimer) with HelEx II two-volume cell</t>
  </si>
  <si>
    <t xml:space="preserve">NWR FemtoUC femtosecond system (New Wave Research); 300 fs Yb:KGW laser amplifier (PHAROS, Light Conversion Ltd.)</t>
  </si>
  <si>
    <t xml:space="preserve">ICP-MS Manufacturer &amp; Model</t>
  </si>
  <si>
    <t xml:space="preserve">Manufacturer and model of the ICP-MS instrument.</t>
  </si>
  <si>
    <t xml:space="preserve">e.g., 'Thermo Fischer iCAP Q' | 'Agilent 7900' | 'Thermo Element XR' | 'PerkinElmer NexION 2000'</t>
  </si>
  <si>
    <t xml:space="preserve">Thermo Scientific Element XR (single-collector sector-field)</t>
  </si>
  <si>
    <t xml:space="preserve">Thermo Scientific iCAP TQ (triple-quadrupole ICP-MS/MS)</t>
  </si>
  <si>
    <t xml:space="preserve">Thermo Scientific X-series 2 (quadrupole)</t>
  </si>
  <si>
    <t xml:space="preserve">TOFWERK icpTOF 2R (time-of-flight ICP-MS)</t>
  </si>
  <si>
    <t xml:space="preserve">Agilent 8900 (quadrupole ICP-MS)</t>
  </si>
  <si>
    <t xml:space="preserve">Agilent 7900 (quadrupole ICP-MS) at both institutes</t>
  </si>
  <si>
    <t xml:space="preserve">Thermo Scientific Element XR (single-collector sector-field ICP-MS)</t>
  </si>
  <si>
    <t xml:space="preserve">Thermo Scientific NEPTUNE Plus (multi-collector sector-field ICP-MS)</t>
  </si>
  <si>
    <t xml:space="preserve">ICP-MS Type</t>
  </si>
  <si>
    <t xml:space="preserve">Type of ICP-MS mass analyser and collector configuration.</t>
  </si>
  <si>
    <t xml:space="preserve">Single-collector quadrupole (Q-ICP-MS) | Single-collector sector-field (SF-ICP-MS) | Multi-collector sector-field (MC-ICP-MS) | Time-of-flight (TOF-ICP-MS) | Other</t>
  </si>
  <si>
    <t xml:space="preserve">Single-collector sector-field (SF-ICP-MS)</t>
  </si>
  <si>
    <t xml:space="preserve">Triple-quadrupole (ICP-MS/MS); MS/MS mode used for Rb/Sr separation</t>
  </si>
  <si>
    <t xml:space="preserve">Single-collector quadrupole (Q-ICP-MS)</t>
  </si>
  <si>
    <t xml:space="preserve">Time-of-flight (TOF-ICP-MS); detects m/z 23–238 quasi-simultaneously in 46 µs base integration time</t>
  </si>
  <si>
    <t xml:space="preserve">Single-collector sector-field (SF-ICP-MS); low-resolution mode (m/Δm ~300)</t>
  </si>
  <si>
    <t xml:space="preserve">Multi-collector sector-field (MC-ICP-MS); 9 Faraday cups + 7 electron multiplier ICs</t>
  </si>
  <si>
    <t xml:space="preserve">Interface Cone Configuration</t>
  </si>
  <si>
    <t xml:space="preserve">Combination of sample cone and skimmer cone installed during analysis. Cone geometry strongly controls instrument sensitivity and oxide ion formation rates, and should be documented as a primary method parameter.</t>
  </si>
  <si>
    <t xml:space="preserve">Standard sample cone + H skimmer cone | Standard sample cone + X skimmer cone | Jet sample cone + H skimmer cone | Jet sample cone + X skimmer cone | Other: specify (include material if non-Ni)</t>
  </si>
  <si>
    <t xml:space="preserve">Jet sample cone + X skimmer cone (Ni)</t>
  </si>
  <si>
    <t xml:space="preserve">Ni sampler cone (standard) + Ni micro-skimmer cone (Xs model) — Table 1</t>
  </si>
  <si>
    <t xml:space="preserve">Ni sampler + Ni skimmer cones (standard configuration, low resolution)</t>
  </si>
  <si>
    <t xml:space="preserve">X skimmer cone + Jet sample cone (high-sensitivity configuration)</t>
  </si>
  <si>
    <t xml:space="preserve">Guard Electrode</t>
  </si>
  <si>
    <t xml:space="preserve">Whether the guard electrode (also called extraction lens or Fassel torch shield) was active during analysis. The guard electrode reduces plasma offset, narrows ion energy distribution, and substantially increases sensitivity, particularly for mid- to high-mass elements.</t>
  </si>
  <si>
    <t xml:space="preserve">On | Off | Not applicable (instrument does not have guard electrode)</t>
  </si>
  <si>
    <t xml:space="preserve">On (guard electrode active during analysis)</t>
  </si>
  <si>
    <t xml:space="preserve">Mass Resolution Setting</t>
  </si>
  <si>
    <t xml:space="preserve">Operating mass resolution of the mass analyser. For quadrupole instruments this is fixed at unit resolution by instrument design. For sector-field instruments the analyst selects low, medium, or high resolution to balance sensitivity against spectral interference suppression.</t>
  </si>
  <si>
    <t xml:space="preserve">Controlled list / Numeric</t>
  </si>
  <si>
    <t xml:space="preserve">Unit resolution — quadrupole (fixed) | Low resolution — SF (~300 m/Δm) | Medium resolution — SF (~3000 m/Δm) | High resolution — SF (~10000 m/Δm) | Other: specify</t>
  </si>
  <si>
    <t xml:space="preserve">Low resolution (LR, m/Δm ~300) for most isotopes; medium resolution (MR, m/Δm ~4000) for Fe, Ni</t>
  </si>
  <si>
    <t xml:space="preserve">Low resolution for most elements; medium resolution for Fe and Ni isotopes</t>
  </si>
  <si>
    <t xml:space="preserve">Medium resolution (MR, m/Δm ~4000) for all measurements</t>
  </si>
  <si>
    <t xml:space="preserve">N/A — TOF instrument; inherently low resolution (~300–400 m/Δm) but simultaneous full spectrum acquisition</t>
  </si>
  <si>
    <t xml:space="preserve">Low resolution (m/Δm ~300, E-scan mode)</t>
  </si>
  <si>
    <t xml:space="preserve">Low mass resolution mode (~400)</t>
  </si>
  <si>
    <t xml:space="preserve">Detector Configuration</t>
  </si>
  <si>
    <t xml:space="preserve">Type(s) of detector(s) installed in the mass spectrometer. For single-collector instruments, note whether dual pulse-counting/analog mode is used. For multi-collector instruments, describe the Faraday/multiplier cup layout.</t>
  </si>
  <si>
    <t xml:space="preserve">e.g., 'Single SEM, dual mode (pulse counting and analog)' | 'Single SEM in triple mode (pulse, analog, Faraday)' | 'Nine Faraday cups + one ion counter (MC)'</t>
  </si>
  <si>
    <t xml:space="preserve">Single SEM in triple mode (pulse counting, analog, Faraday)</t>
  </si>
  <si>
    <t xml:space="preserve">Single secondary electron multiplier; SQ KED mode using He collision gas (4 ml/min) to reduce polyatomic interferences</t>
  </si>
  <si>
    <t xml:space="preserve">TOF detector; base integration time 46 µs per full spectrum; at least 60 spectra aggregated per readout (effectively 300 Hz); notch-filter quadrupole attenuates ³⁶Ar⁺, ⁴⁰Ar⁺, ⁴⁰ArH⁺, ⁴⁰Ar⁴⁰Ar⁺ to avoid detector saturation</t>
  </si>
  <si>
    <t xml:space="preserve">Dual mode (30 ms / 10 ms dwell time per isotope; detector mode: Dual)</t>
  </si>
  <si>
    <t xml:space="preserve">Triple mode electron multiplier detection (pulse counting, analog, Faraday)</t>
  </si>
  <si>
    <t xml:space="preserve">Seven fixed electron multiplier ICs + nine Faraday cups with 10¹¹ Ω resistors; cup configuration L4(⁸³Kr)–L3(¹⁶⁷Er²⁺)–L2(⁸⁴Sr)–L1(⁸⁵Rb)–C(⁸⁶Sr)–H1(¹⁷³Yb²⁺)–H2(⁸⁷Sr)–H3(⁸⁸Sr)</t>
  </si>
  <si>
    <t xml:space="preserve">Laser Wavelength</t>
  </si>
  <si>
    <t xml:space="preserve">Wavelength of the laser used for ablation in nanometres.</t>
  </si>
  <si>
    <t xml:space="preserve">Numeric (nm)</t>
  </si>
  <si>
    <t xml:space="preserve">e.g., 193 (ArF excimer) | 213 (Nd:YAG frequency-quintupled) | 266 | 532</t>
  </si>
  <si>
    <t xml:space="preserve">193 nm (ArF excimer)</t>
  </si>
  <si>
    <t xml:space="preserve">260 nm (Ti:sapphire fs, frequency-doubled)</t>
  </si>
  <si>
    <t xml:space="preserve">343 nm (high-repetition-rate fs laser, frequency-tripled Yb:YAG)</t>
  </si>
  <si>
    <t xml:space="preserve">193 nm (ArF excimer, Resonetic system)</t>
  </si>
  <si>
    <t xml:space="preserve">257 nm (Yb:KGW fs, 300 fs pulse, frequency-doubled)</t>
  </si>
  <si>
    <t xml:space="preserve">Acquisition Software</t>
  </si>
  <si>
    <t xml:space="preserve">Instrument control and data acquisition software used to collect raw signal data, including version number. Separate from data reduction software.</t>
  </si>
  <si>
    <t xml:space="preserve">e.g., 'Thermo Qtegra 2.10' | 'Agilent MassHunter 4.6' | 'Thermo PlasmaLab 2.5.4'</t>
  </si>
  <si>
    <t xml:space="preserve">Tofpilot v2.8 (TOFWERK) — used for mass calibration, baseline modelling/subtraction, peak integration, and integration of mass spectra per laser shot/pixel</t>
  </si>
  <si>
    <t xml:space="preserve">Data Reduction Software</t>
  </si>
  <si>
    <t xml:space="preserve">Software used for signal processing, background subtraction, and concentration calculation, including version number.</t>
  </si>
  <si>
    <t xml:space="preserve">e.g., 'Iolite 4.7' | 'GLITTER 4.4' | 'SILLS 1.1' | 'LAtools' | 'In-house Excel spreadsheet'</t>
  </si>
  <si>
    <t xml:space="preserve">In-house LabVIEW-based software for signal processing; isotope fractionation corrections applied manually</t>
  </si>
  <si>
    <t xml:space="preserve">iQuant 2+ image processing software (Suzuki et al. 2018, Mass Spectrometry 7: A0065) for 2D color map generation from line-scan data</t>
  </si>
  <si>
    <t xml:space="preserve">In-house spreadsheet (Mittlefehldt lab protocol; details not given)</t>
  </si>
  <si>
    <t xml:space="preserve">HDIP software (Teledyne Photon Machines) — LoD calculation, external calibration, oxide-sum normalization, VOI selection (k-means clustering or manual), integration and elemental map export</t>
  </si>
  <si>
    <t xml:space="preserve">Iolite4 (version not specified; references Paul et al. 2023 and Paton et al. 2011)</t>
  </si>
  <si>
    <t xml:space="preserve">Iolite v4.5.7 with 3D Trace Elements DRS (Paul et al. 2023, doi:10.1039/2023JAAS)</t>
  </si>
  <si>
    <t xml:space="preserve">ISO-Compass software (Zhang et al. 2020, doi:10.1039/D0JA00084A)</t>
  </si>
  <si>
    <t xml:space="preserve">Ablation Cell Type</t>
  </si>
  <si>
    <t xml:space="preserve">Type and model of ablation cell used. Two-volume cells substantially reduce washout time and improve signal stability.</t>
  </si>
  <si>
    <t xml:space="preserve">e.g., 'Two-volume HelEx II' | 'Single-volume standard cell' | 'In-house cell, aerosol dispersion volume &lt;3 cm³'</t>
  </si>
  <si>
    <t xml:space="preserve">HelEx two-volume ablation cell (Teledyne Photon Machines)</t>
  </si>
  <si>
    <t xml:space="preserve">Cobalt™ ablation chamber + low-dispersion tube-type ablation cell (Teledyne Photon Machines); aerosol pulse response &lt;1 ms (full width at 1% max); connected via ARIS (aerosol rapid introduction system)</t>
  </si>
  <si>
    <t xml:space="preserve">HelEx II two-volume ablation cell (Teledyne Photon Machines)</t>
  </si>
  <si>
    <t xml:space="preserve">Two-volume cell with constant distance between laser ablation position and aerosol extraction; He carrier gas</t>
  </si>
  <si>
    <t xml:space="preserve">4. Measurement Information</t>
  </si>
  <si>
    <t xml:space="preserve">Laser Spot Geometry</t>
  </si>
  <si>
    <t xml:space="preserve">Shape and dimensions of the laser ablation spot: width (and length if non-circular) in micrometres.</t>
  </si>
  <si>
    <t xml:space="preserve">Numeric + unit (µm)</t>
  </si>
  <si>
    <t xml:space="preserve">e.g., '15 µm circular' | '20×20 µm square' | '15; 20 µm (multiple sizes used)'</t>
  </si>
  <si>
    <t xml:space="preserve">50 µm (circular; also 100 µm for some rasters)</t>
  </si>
  <si>
    <t xml:space="preserve">20×20 µm square (mapping); 30 µm or 130 µm circular (spot analysis)</t>
  </si>
  <si>
    <t xml:space="preserve">10 µm circular</t>
  </si>
  <si>
    <t xml:space="preserve">75 µm circular</t>
  </si>
  <si>
    <t xml:space="preserve">30 µm circular</t>
  </si>
  <si>
    <t xml:space="preserve">2 µm ∅ circular, 3 µm ∅ circular, or 5×5 µm square (depending on session)</t>
  </si>
  <si>
    <t xml:space="preserve">100×100 µm square (ablation spot size = 100 µm diameter stated in text; ≈100 µm spot at 1 Hz)</t>
  </si>
  <si>
    <t xml:space="preserve">40 µm circular (glasses); 20 µm circular (sulfides, grain size &gt;20 µm selected)</t>
  </si>
  <si>
    <t xml:space="preserve">150 µm circular (spot analysis and mapping)</t>
  </si>
  <si>
    <t xml:space="preserve">50–60 µm circular</t>
  </si>
  <si>
    <t xml:space="preserve">Laser Spot Path / Ablation Mode</t>
  </si>
  <si>
    <t xml:space="preserve">Sampling mode or ablation pattern used during analysis.</t>
  </si>
  <si>
    <t xml:space="preserve">Spot (stationary) | Transect (line scan) | Raster area | Other</t>
  </si>
  <si>
    <t xml:space="preserve">Raster (continuous scan over defined area)</t>
  </si>
  <si>
    <t xml:space="preserve">Raster area (2D mapping); spot (stationary) for phosphate point analyses</t>
  </si>
  <si>
    <t xml:space="preserve">Raster area (2D imaging); continuous scan over CAI area</t>
  </si>
  <si>
    <t xml:space="preserve">Spot (stationary)</t>
  </si>
  <si>
    <t xml:space="preserve">Raster area (2D elemental mapping); each laser shot = single pixel</t>
  </si>
  <si>
    <t xml:space="preserve">Spot (stationary single spot, 1 Hz, 45 s ablation after 25 s gas blank; 25 s washout between analyses)</t>
  </si>
  <si>
    <t xml:space="preserve">Spot (stationary); time-resolved signals used to identify micronuggets</t>
  </si>
  <si>
    <t xml:space="preserve">Spot (stationary, 150 µm); raster (10 µm/s continuous scan, 150 µm² square spot, 10 Hz) for elemental mapping</t>
  </si>
  <si>
    <t xml:space="preserve">Line scan (transect mode; scan speed 2–6 µm/s)</t>
  </si>
  <si>
    <t xml:space="preserve">Laser Energy</t>
  </si>
  <si>
    <t xml:space="preserve">Laser pulse energy in millijoules as set at the laser output or measured at the sample.</t>
  </si>
  <si>
    <t xml:space="preserve">Numeric (mJ)</t>
  </si>
  <si>
    <t xml:space="preserve">e.g., 0.001 mJ | 3.5 mJ</t>
  </si>
  <si>
    <t xml:space="preserve">Laser Fluence (Energy Density)</t>
  </si>
  <si>
    <t xml:space="preserve">Laser pulse energy per unit area at the sample surface in J cm⁻². Fluence is the physically meaningful parameter controlling ablation coupling, particle size distribution, and elemental fractionation. Spot size and laser energy together determine fluence.</t>
  </si>
  <si>
    <t xml:space="preserve">Numeric (J cm⁻²)</t>
  </si>
  <si>
    <t xml:space="preserve">e.g., 2–3 J cm⁻² | 8 J cm⁻² | 10 J cm⁻²</t>
  </si>
  <si>
    <t xml:space="preserve">3 J cm⁻² (mapping); 5–8 J cm⁻² (spot analysis for phosphate)</t>
  </si>
  <si>
    <t xml:space="preserve">~3 J cm⁻² (femtosecond fs ablation)</t>
  </si>
  <si>
    <t xml:space="preserve">12 J cm⁻²</t>
  </si>
  <si>
    <t xml:space="preserve">2 J cm⁻²</t>
  </si>
  <si>
    <t xml:space="preserve">6.79 J cm⁻²</t>
  </si>
  <si>
    <t xml:space="preserve">~2.5 J cm⁻² (Cetac Analyte HE; stated as 'energy of ~2.5 J/cm²')</t>
  </si>
  <si>
    <t xml:space="preserve">7 J cm⁻²</t>
  </si>
  <si>
    <t xml:space="preserve">60% energy density (exact J cm⁻² not converted; ~60% of maximum output for PHAROS system)</t>
  </si>
  <si>
    <t xml:space="preserve">Laser Repetition Rate</t>
  </si>
  <si>
    <t xml:space="preserve">Laser pulse repetition rate in hertz.</t>
  </si>
  <si>
    <t xml:space="preserve">Numeric (Hz)</t>
  </si>
  <si>
    <t xml:space="preserve">e.g., 5 | 10 | 15 | 20</t>
  </si>
  <si>
    <t xml:space="preserve">50 Hz (raster scan); 50 Hz (spot analyses for Ge)</t>
  </si>
  <si>
    <t xml:space="preserve">40 Hz (mapping); 10 Hz (spot analysis)</t>
  </si>
  <si>
    <t xml:space="preserve">10 Hz</t>
  </si>
  <si>
    <t xml:space="preserve">20 Hz</t>
  </si>
  <si>
    <t xml:space="preserve">100–300 Hz (pixel acquisition rate dependent on mapping speed; each laser pulse triggered mass spectrometer individually)</t>
  </si>
  <si>
    <t xml:space="preserve">1 Hz (single spot mode)</t>
  </si>
  <si>
    <t xml:space="preserve">7 Hz</t>
  </si>
  <si>
    <t xml:space="preserve">10–30 Hz</t>
  </si>
  <si>
    <t xml:space="preserve">Laser Pulse Duration</t>
  </si>
  <si>
    <t xml:space="preserve">Duration of each laser pulse, including units. Pulse duration influences the balance of thermal vs. non-thermal ablation mechanisms.</t>
  </si>
  <si>
    <t xml:space="preserve">Numeric + unit</t>
  </si>
  <si>
    <t xml:space="preserve">e.g., 7 ns | 20 ns | 5 ns | 25 fs</t>
  </si>
  <si>
    <t xml:space="preserve">4 ns (specified for Analyte G2 ArF excimer)</t>
  </si>
  <si>
    <t xml:space="preserve">290 fs (Yb:KGW femtosecond laser, Jupiter Solid Nebulizer, S.T. Japan Inc.)</t>
  </si>
  <si>
    <t xml:space="preserve">~220 fs (Ti:sapphire IFRIT system, Cyber Laser)</t>
  </si>
  <si>
    <t xml:space="preserve">N (ns excimer; pulse duration not stated for Iridia system)</t>
  </si>
  <si>
    <t xml:space="preserve">Femtosecond (exact value not stated; GenesisGEO fs laser)</t>
  </si>
  <si>
    <t xml:space="preserve">4 ns (excimer pulse width, Excite 193)</t>
  </si>
  <si>
    <t xml:space="preserve">300 fs (Yb:KGW PHAROS femtosecond amplifier)</t>
  </si>
  <si>
    <t xml:space="preserve">Ablation Duration per Analysis</t>
  </si>
  <si>
    <t xml:space="preserve">Total on-sample ablation (signal acquisition) time per individual analysis in seconds. Together with background count time, this defines the total analytical cycle time and the depth of ablation per spot.</t>
  </si>
  <si>
    <t xml:space="preserve">Numeric (s)</t>
  </si>
  <si>
    <t xml:space="preserve">e.g., 40 s | 60 s | 90 s</t>
  </si>
  <si>
    <t xml:space="preserve">20 s (spot analyses for Ge at 50 Hz); raster scan duration varies with area</t>
  </si>
  <si>
    <t xml:space="preserve">60 s (mapping lines); 40–60 s (spot)</t>
  </si>
  <si>
    <t xml:space="preserve">Continuous raster scan; areas 200×200 to 300×300 µm² ablated in 30–60 min per area; scan speed 2 µm/s; washout time ~3 s (signal decays 2 orders of magnitude)</t>
  </si>
  <si>
    <t xml:space="preserve">0.3–30 mm² h⁻¹ mapping rate; each map corresponds to thousands of pixels (each pixel = one laser shot); total session time several hours per sample</t>
  </si>
  <si>
    <t xml:space="preserve">45 s ablation (after 25 s gas blank; 25 s washout between analyses)</t>
  </si>
  <si>
    <t xml:space="preserve">On-sample time: ~40 s (inferred from typical 40 s ablation + 20 s background protocol for CetacAnalyte HE)</t>
  </si>
  <si>
    <t xml:space="preserve">40 s on-sample ablation (after 20 s blank measurement with laser shutter closed)</t>
  </si>
  <si>
    <t xml:space="preserve">90 cycles × 0.524 s integration = 47 s total; first 30 cycles for background (15.7 s); 60–70 cycles used for signal (31–37 s)</t>
  </si>
  <si>
    <t xml:space="preserve">Transect Rate or Step Size</t>
  </si>
  <si>
    <t xml:space="preserve">For line scans: continuous drive rate in µm/s; for stepped ablation: step size in µm.</t>
  </si>
  <si>
    <t xml:space="preserve">e.g., 5 µm/s continuous | 20 µm step | Not applicable (spot mode)</t>
  </si>
  <si>
    <t xml:space="preserve">10 µm s⁻¹ continuous scan</t>
  </si>
  <si>
    <t xml:space="preserve">5 µm s⁻¹ (mapping scan speed)</t>
  </si>
  <si>
    <t xml:space="preserve">2 µm s⁻¹ continuous scan</t>
  </si>
  <si>
    <t xml:space="preserve">N/A — spot mode only</t>
  </si>
  <si>
    <t xml:space="preserve">Scanning speed varied to achieve 0.3–30 mm² h⁻¹; pixel acquisition rate 100–300 pixels s⁻¹</t>
  </si>
  <si>
    <t xml:space="preserve">N/A — single spot mode</t>
  </si>
  <si>
    <t xml:space="preserve">10 µm s⁻¹ (mapping scan speed); N/A for spot mode</t>
  </si>
  <si>
    <t xml:space="preserve">2–6 µm s⁻¹ scan speed</t>
  </si>
  <si>
    <t xml:space="preserve">Carrier Gas and Flow Rate</t>
  </si>
  <si>
    <t xml:space="preserve">Gas used to transport ablated aerosol from the ablation cell to the ICP-MS, with flow rate.</t>
  </si>
  <si>
    <t xml:space="preserve">e.g., 'He, 0.75 l min⁻¹' | 'He, 0.9 l min⁻¹'</t>
  </si>
  <si>
    <t xml:space="preserve">He (carrier gas stated; flow rate not specified)</t>
  </si>
  <si>
    <t xml:space="preserve">He, 0.6 L min⁻¹ (cell) + 0.5 L min⁻¹ (cup); mixed with Ar makeup gas downstream</t>
  </si>
  <si>
    <t xml:space="preserve">He carrier gas, 0.6 L min⁻¹</t>
  </si>
  <si>
    <t xml:space="preserve">He carrier gas, 0.6 L min⁻¹ (Table 1)</t>
  </si>
  <si>
    <t xml:space="preserve">He (carrier through low-dispersion tube-type cell; flow rate and ARIS conditions tuned daily)</t>
  </si>
  <si>
    <t xml:space="preserve">He, 0.7 L min⁻¹ (chamber) + 0.1 L min⁻¹ (cup gas)</t>
  </si>
  <si>
    <t xml:space="preserve">He (flow rate not stated; stated as carrier gas with N₂ or Ar mixed for sensitivity optimization)</t>
  </si>
  <si>
    <t xml:space="preserve">He, 0.6 L min⁻¹ (MFC 1) + 0.7 L min⁻¹ (MFC 2) in two-volume HelEx II cell; combined with Ar makeup gas via T-piece near torch</t>
  </si>
  <si>
    <t xml:space="preserve">He, 0.90 L min⁻¹ (carrier gas flow to two-volume cell)</t>
  </si>
  <si>
    <t xml:space="preserve">Plasma / Make-up Gas Addition</t>
  </si>
  <si>
    <t xml:space="preserve">Additional gas(es) mixed into the carrier or make-up gas flow, including flow rate. Small N₂ additions to Ar-based plasmas can substantially increase sensitivity for certain elements (e.g., mid-mass REEs) and reduce oxide formation.</t>
  </si>
  <si>
    <t xml:space="preserve">e.g., 'Ar make-up gas, 0.95 l min⁻¹' | 'Ar make-up 0.80 l min⁻¹ + N₂ 2 ml min⁻¹' | 'None'</t>
  </si>
  <si>
    <t xml:space="preserve">Ar makeup gas (flow rate not specified); small N₂ addition for sensitivity enhancement</t>
  </si>
  <si>
    <t xml:space="preserve">Ar make-up gas, 1.0 L min⁻¹ (added outside ablation cell)</t>
  </si>
  <si>
    <t xml:space="preserve">Ar makeup, ~0.9 L min⁻¹ (inferred from Element XR standard settings)</t>
  </si>
  <si>
    <t xml:space="preserve">Ar make-up gas, 0.9–1.2 L min⁻¹; Ar auxiliary gas, 0.6–1.2 L min⁻¹; Ar plasma gas, 16 L min⁻¹ (Table 1)</t>
  </si>
  <si>
    <t xml:space="preserve">N₂ or Ar mixed into carrier gas for sensitivity optimization (exact addition not quantified)</t>
  </si>
  <si>
    <t xml:space="preserve">Ar makeup gas (combined via T-piece in sample transport line near torch)</t>
  </si>
  <si>
    <t xml:space="preserve">Ar (makeup); N₂ added via Y connector downstream of signal-smoothing device, 12 ml min⁻¹</t>
  </si>
  <si>
    <t xml:space="preserve">Auxiliary and Cool Gas Flow Rates</t>
  </si>
  <si>
    <t xml:space="preserve">ICP auxiliary (intermediate) and cool (outer/plasma) gas flow rates in l min⁻¹. These control the thermal characteristics of the plasma.</t>
  </si>
  <si>
    <t xml:space="preserve">e.g., 'Cool gas: 15 l min⁻¹ Ar; Auxiliary gas: 0.80 l min⁻¹ Ar' | 'Cool: 16 l min⁻¹; Auxiliary: 1.5 l min⁻¹'</t>
  </si>
  <si>
    <t xml:space="preserve">Cool gas: 16 L min⁻¹ Ar; Auxiliary gas: 1.0 L min⁻¹ Ar</t>
  </si>
  <si>
    <t xml:space="preserve">Cool: ~15 L min⁻¹ Ar; Auxiliary: ~0.9 L min⁻¹ Ar (inferred from typical Element XR settings, not explicitly stated)</t>
  </si>
  <si>
    <t xml:space="preserve">Cool gas: 12–13 L min⁻¹ Ar; Auxiliary gas: 0.6–1.2 L min⁻¹ Ar; Make-up gas: 0.9–1.2 L min⁻¹ Ar (Table 1)</t>
  </si>
  <si>
    <t xml:space="preserve">Plasma gas: 16 L min⁻¹; Auxiliary gas: 0.9 L min⁻¹; Nebulizer gas: 1.1 L min⁻¹</t>
  </si>
  <si>
    <t xml:space="preserve">Cool gas: 16.0 L min⁻¹; Auxiliary gas: 0.80 L min⁻¹</t>
  </si>
  <si>
    <t xml:space="preserve">RF Power</t>
  </si>
  <si>
    <t xml:space="preserve">ICP radiofrequency forward power in watts.</t>
  </si>
  <si>
    <t xml:space="preserve">Numeric (W)</t>
  </si>
  <si>
    <t xml:space="preserve">e.g., 1200 W | 1320 W | 1350 W | 1400 W</t>
  </si>
  <si>
    <t xml:space="preserve">1300 W</t>
  </si>
  <si>
    <t xml:space="preserve">1550 W</t>
  </si>
  <si>
    <t xml:space="preserve">1400 W</t>
  </si>
  <si>
    <t xml:space="preserve">N (RF power not explicitly stated for Agilent 7900; standard conditions implied)</t>
  </si>
  <si>
    <t xml:space="preserve">1200 W</t>
  </si>
  <si>
    <t xml:space="preserve">1250 W</t>
  </si>
  <si>
    <t xml:space="preserve">Signal Smoothing</t>
  </si>
  <si>
    <t xml:space="preserve">Description of any signal smoothing device or approach used between the ablation cell and the ICP-MS to reduce signal spikiness.</t>
  </si>
  <si>
    <t xml:space="preserve">e.g., 'Glass smoothing device' | 'Squid 2.0' | 'None'</t>
  </si>
  <si>
    <t xml:space="preserve">ARIS (Aerosol Rapid Introduction System, Teledyne Photon Machines) — low-dispersion tube-type cell minimizes aerosol dispersion; pulse response &lt;1 ms at &lt;1% baseline; trigger delay to mass spectrometer tuned daily</t>
  </si>
  <si>
    <t xml:space="preserve">Signal-smoothing device used downstream from ablation cell (reference: Hu et al. 2015, Anal. Chem. 87:1152–1157); significantly reduces short-term signal variability</t>
  </si>
  <si>
    <t xml:space="preserve">ICP Tuning Procedure</t>
  </si>
  <si>
    <t xml:space="preserve">Description of the method used to tune ICP plasma conditions prior to analysis, including the material used for tuning.</t>
  </si>
  <si>
    <t xml:space="preserve">e.g., 'Line scan on NIST SRM 612 using instrument auto-tune; optimized for max sensitivity on La, Th with ThO/Th &lt;0.5%'</t>
  </si>
  <si>
    <t xml:space="preserve">Gas flows optimized via spot ablation of NIST SRM 612; maximum signal intensities targeted while maintaining ThO/Th &lt;0.3% and U/Th at 0.95–1.05; details in Table 1</t>
  </si>
  <si>
    <t xml:space="preserve">ICP and laser settings optimized daily to achieve optimum signal intensity and low oxide formation per factory specifications; mass calibration and detector cross-calibration checked and redone if required</t>
  </si>
  <si>
    <t xml:space="preserve">NIST 610 used to optimize instrumental parameters including He and Ar gas flow rates, torch position, RF power, and source lens settings for maximum sensitivity and optimum peak flatness</t>
  </si>
  <si>
    <t xml:space="preserve">Oxide Production (ThO/Th)</t>
  </si>
  <si>
    <t xml:space="preserve">ThO⁺/Th⁺ ratio (mass 248/232) or equivalent oxide proxy used to document plasma oxide production. A key tuning target; typically kept &lt;1% or &lt;0.5% for REE-sensitive applications.</t>
  </si>
  <si>
    <t xml:space="preserve">Numeric (%)</t>
  </si>
  <si>
    <t xml:space="preserve">e.g., &lt;0.4% | ca. 0.7% | &lt;1% | &lt;0.2% (for Eu/Eu* measurements)</t>
  </si>
  <si>
    <t xml:space="preserve">ThO⁺/Th⁺ &lt;1% (optimized during tuning; monitored as condition for gas flow optimization)</t>
  </si>
  <si>
    <t xml:space="preserve">ThO/Th &lt;0.3%; U/Th monitored at 0.95–1.05 (as part of tuning criteria on NIST SRM 612)</t>
  </si>
  <si>
    <t xml:space="preserve">Instrument Warm-up / Session Duration Limit</t>
  </si>
  <si>
    <t xml:space="preserve">Minimum warm-up time after plasma ignition before analyses begin, and any maximum session duration enforced to maintain stable operating conditions.</t>
  </si>
  <si>
    <t xml:space="preserve">e.g., '≥30 min warm-up after sample change; sessions ≤8 h after tuning' | '3–4 h warm-up; no session duration limit'</t>
  </si>
  <si>
    <t xml:space="preserve">Drift Monitor Frequency</t>
  </si>
  <si>
    <t xml:space="preserve">Frequency at which primary reference materials were analysed to monitor and correct for instrument drift throughout the session.</t>
  </si>
  <si>
    <t xml:space="preserve">e.g., 'Every 10 unknowns' | 'Start and end of session' | 'Every 15–20 analyses'</t>
  </si>
  <si>
    <t xml:space="preserve">Reference materials measured at start and end of each session (10 adjacent line scans per GRM); 3–5 repetitions of each GRM before and after samples</t>
  </si>
  <si>
    <t xml:space="preserve">Each GRM analysed 3–5 times before and after sample analyses; BHVO-2G and StHs6/80-G designated as secondary QC materials measured in every session</t>
  </si>
  <si>
    <t xml:space="preserve">Analytical sequence started and finished with repeated measurements of NIST SRM 612 and North Chile, bracketing blocks of 10 unknowns; new calibration curves constructed daily</t>
  </si>
  <si>
    <t xml:space="preserve">Analysis Sequence</t>
  </si>
  <si>
    <t xml:space="preserve">Repeating order of primary calibration standard, quality control standard, and unknown analyses within a measurement session.</t>
  </si>
  <si>
    <t xml:space="preserve">e.g., '1 primary std / 1 QC / 10 unknowns' | '2/4/15' | 'Calibration at start and end; unknowns in between'</t>
  </si>
  <si>
    <t xml:space="preserve">Standards at start and end of session; raster unknowns in between</t>
  </si>
  <si>
    <t xml:space="preserve">GRM (3–5×) → unknowns → GRM (3–5×) per session block; NIST SRM 612 used as primary calibration anchor</t>
  </si>
  <si>
    <t xml:space="preserve">Reference materials (NIST SRM 612 for REEs; augite, olivine, Cl-apatite, titanite for MEs) analyzed under same conditions; no formal bracketing sequence described</t>
  </si>
  <si>
    <t xml:space="preserve">IVB iron meteorite standards (Warburton Range as external; Tawallah Valley as secondary) measured alongside unknowns; formal bracketing interval not described</t>
  </si>
  <si>
    <t xml:space="preserve">(i) Gas blanks → (ii) all glass GRMs for external calibration → (iii) 1–3 cosmic spherule samples → (iv) blanks → (v) all glass GRMs again; each GRM analysed as 10-adjacent-line-scan map; 3–5 reps per GRM before and after samples</t>
  </si>
  <si>
    <t xml:space="preserve">Gas blank (25 s) → ablation (45 s) → washout (25 s); NIST 612 and 614 measured as external standards; BHVO-2 lithium borate glass as matrix-matched standard</t>
  </si>
  <si>
    <t xml:space="preserve">NIST 610 as primary standard; NIST 612 and BCR-2G as monitoring standards; unknowns bracketed by standards</t>
  </si>
  <si>
    <t xml:space="preserve">NIST SRM 612(×3) → North Chile(×3) → unknowns(×10) → NIST SRM 612(×2) → North Chile(×2) → unknowns(×10) → … repeat; background signal measured with shutter closed for 20 s before each analysis</t>
  </si>
  <si>
    <t xml:space="preserve">1 block of 120 cycles (0.524 s per cycle); first 30 cycles background (no laser); remaining 90 cycles signal; 60–70 cycles finally used; NIST 610 used for parameter optimization</t>
  </si>
  <si>
    <t xml:space="preserve">Measured Isotope</t>
  </si>
  <si>
    <t xml:space="preserve">Specific isotope (mass/charge) selected for measurement of each element. Isotope selection is a primary method-level decision that determines which spectral interferences must be considered and corrected for.</t>
  </si>
  <si>
    <t xml:space="preserve">Numeric (mass)</t>
  </si>
  <si>
    <t xml:space="preserve">e.g., ²⁹Si, ⁴³Ca, ¹³⁹La, ¹⁵³Eu, ¹⁷²Yb; element specific. Report as integer mass number (e.g., 29, 43, 139)</t>
  </si>
  <si>
    <t xml:space="preserve">Element specific</t>
  </si>
  <si>
    <t xml:space="preserve">⁵²Cr, ⁵⁷Fe, ⁵⁹Co, ⁶¹Ni, ⁶⁵Cu, ⁶⁹Ga, ⁷²Ge, ⁷⁵As, ⁹⁹Ru, ¹⁰³Rh, ¹⁰⁵Pd, ¹⁸²W, ¹⁸⁵Re, ¹⁸⁹Os, ¹⁹³Ir, ¹⁹⁵Pt, ¹⁹⁷Au</t>
  </si>
  <si>
    <t xml:space="preserve">²⁵Mg, ²⁷Al, ²⁸Si, ⁴³Ca, ⁴⁷Ti, ⁵²Cr, ⁵⁵Mn, ⁵⁷Fe, ⁵⁹Co, ⁶⁰Ni, ⁶³Cu, ⁶⁸Zn, ³¹P, plus REEs and trace elements (Ba, Rb, Sr, Y, Zr, Nb, La–Lu, Hf, Ta, Pb, Th, U)</t>
  </si>
  <si>
    <t xml:space="preserve">²⁴Mg, ²⁷Al, ²⁸Si, ⁴⁴Ca, ⁴⁵Sc, ⁴⁸Ti, ⁵¹V, ⁵²Cr, ⁵⁵Mn, ⁵⁷Fe, ⁵⁸Ni, ⁸⁸Sr, ⁸⁹Y, ⁹⁰Zr, ¹³⁸Ba, ¹³⁹La, ¹⁴⁰Ce, ¹⁴¹Pr, ¹⁴⁶Nd, ¹⁴⁷Sm, ¹⁵³Eu, ¹⁵⁷Gd, ¹⁵⁹Tb, ¹⁶³Dy, ¹⁶⁵Ho, ¹⁶⁶Er, ¹⁶⁹Tm, ¹⁷²Yb, ¹⁷⁵Lu, ¹⁷⁸Hf, ¹⁸¹Ta, ²³²Th, ²³⁸U</t>
  </si>
  <si>
    <t xml:space="preserve">²⁵Mg, ²⁷Al, ³¹P, ⁴³Ca, ⁴⁴Ca, ⁴⁵Sc, ⁴⁷Ti, ⁴⁹Ti, ⁵¹V, ⁵²Cr, ⁵³Cr, ⁵⁹Co, ⁶⁰Ni, ⁶¹Ni, ⁶²Ni, ⁶⁴Zn, ⁶⁶Zn, ⁶⁹Ga, ⁷¹Ga (19 isotopes total)</t>
  </si>
  <si>
    <t xml:space="preserve">Measured: ⁵⁹Co, ¹⁰¹Ru, ¹⁰³Rh, ¹⁰⁵Pd, ¹⁸⁵Re, ¹⁸⁹Os, ¹⁹³Ir, ¹⁹⁵Pt, ¹⁹⁷Au (9 HSEs); Monitored for inclusions: ²⁴Mg, ²⁹Si, ³¹P, ³³S, ⁶¹Ni (internal standard for quantification) — Table 1</t>
  </si>
  <si>
    <t xml:space="preserve">²³Na to ²³⁸U (full periodic table, m/z 23–238); simultaneous detection in 46 µs; all elements in range acquired per pixel</t>
  </si>
  <si>
    <t xml:space="preserve">²¹Sc, ⁵¹V, ⁵²Cr, ⁵⁹Co, ⁶⁰Ni, ⁶³Cu, ⁶⁶Zn, ⁶⁹Ga, ⁸⁵Rb, ⁸⁸Sr, ⁸⁹Y, ⁹⁰Zr, ⁹³Nb, ¹³⁷Ba, ¹³⁸La, ¹⁴⁰Ce, ¹⁴¹Pr, ¹⁴⁶Nd, ¹⁴⁷Sm, ¹⁵³Eu, ¹⁵⁷Gd, ¹⁵⁹Tb, ¹⁶³Dy, ¹⁶⁵Ho, ¹⁶⁶Er, ¹⁶⁹Tm, ¹⁷²Yb, ¹⁷⁵Lu, ¹⁷⁸Hf, ¹⁸¹Ta, ²³²Th, ²³⁸U (32 elements total)</t>
  </si>
  <si>
    <t xml:space="preserve">¹⁹⁷Au, ⁶³Cu (primary targets); additional isotopes via EMP for major elements (Si, Fe as internal standards)</t>
  </si>
  <si>
    <t xml:space="preserve">⁸³Kr (L4), ¹⁶⁷Er²⁺ (L3), ⁸⁴Sr (L2), ⁸⁵Rb (L1), ⁸⁶Sr (C), ¹⁷³Yb²⁺ (H1), ⁸⁷Sr (H2), ⁸⁸Sr (H3); Kr and doubly-charged REE monitored for interference correction</t>
  </si>
  <si>
    <t xml:space="preserve">Spectrometer Dwell Time</t>
  </si>
  <si>
    <t xml:space="preserve">Count time per mass (dwell time) for each measured isotope in milliseconds or seconds. Longer dwell times improve counting statistics for low-abundance or low-sensitivity isotopes.</t>
  </si>
  <si>
    <t xml:space="preserve">Numeric (ms or s)</t>
  </si>
  <si>
    <t xml:space="preserve">e.g., 6 ms (most isotopes); 35 ms (¹⁴⁷Sm, ¹⁵³Eu, ¹⁵⁸Gd for REE work); element specific</t>
  </si>
  <si>
    <t xml:space="preserve">10–50 ms per isotope (varies by element; REEs: 50 ms; major elements: 10 ms)</t>
  </si>
  <si>
    <t xml:space="preserve">0.05 s (50 ms) per isotope for all monitored masses (Table 2)</t>
  </si>
  <si>
    <t xml:space="preserve">Dwell times: 10–50 ms (varies by isotope; exact values not tabulated in the appendix)</t>
  </si>
  <si>
    <t xml:space="preserve">N/A — TOF instrument acquires full spectrum in 46 µs base integration time; 60+ spectra aggregated per readout; equivalent to ~300 Hz acquisition rate</t>
  </si>
  <si>
    <t xml:space="preserve">30 ms (most isotopes) / 10 ms (alternate; Dual detector mode); total scan time not stated but consistent with 45 s ablation at 1 Hz</t>
  </si>
  <si>
    <t xml:space="preserve">Sample time: 0.02 s per isotope; 100 samples per peak; 10 runs, 60 passes; total measurement time 120 s per analysis</t>
  </si>
  <si>
    <t xml:space="preserve">0.524 s integration time per cycle (single block of 120 cycles)</t>
  </si>
  <si>
    <t xml:space="preserve">Analysis Count Time (On-peak)</t>
  </si>
  <si>
    <t xml:space="preserve">Total integration time per analysis spent on the ablation signal (on-peak) in seconds.</t>
  </si>
  <si>
    <t xml:space="preserve">e.g., 40 s | 60 s; element specific</t>
  </si>
  <si>
    <t xml:space="preserve">60 s ablation signal per analysis</t>
  </si>
  <si>
    <t xml:space="preserve">Variable per CAI (continuous scan; on-peak time = total scan duration over ablation area)</t>
  </si>
  <si>
    <t xml:space="preserve">Each pixel = one laser shot; pixel acquisition rate 100–300 pixels s⁻¹; 68–206 ICP-ToF-MS spectra integrated per pixel/laser shot</t>
  </si>
  <si>
    <t xml:space="preserve">45 s on-sample ablation</t>
  </si>
  <si>
    <t xml:space="preserve">~40 s (inferred from typical CetacAnalyte HE protocol: 40 s ablation stated for time-resolved analysis)</t>
  </si>
  <si>
    <t xml:space="preserve">40 s on-sample ablation</t>
  </si>
  <si>
    <t xml:space="preserve">60–70 cycles × 0.524 s ≈ 31–37 s (final integrated signal window after discarding beginning and end cycles)</t>
  </si>
  <si>
    <t xml:space="preserve">Background Count Time</t>
  </si>
  <si>
    <t xml:space="preserve">Total time spent measuring gas blank (background) before each ablation signal in seconds.</t>
  </si>
  <si>
    <t xml:space="preserve">e.g., 30 s | 40 s; element specific</t>
  </si>
  <si>
    <t xml:space="preserve">30 s gas blank before each ablation</t>
  </si>
  <si>
    <t xml:space="preserve">Gas blank measured with laser shutter closed; separate gas blank map (10 adjacent lines) acquired for each GRM at start and end of session</t>
  </si>
  <si>
    <t xml:space="preserve">25 s gas blank measured before each ablation</t>
  </si>
  <si>
    <t xml:space="preserve">20 s background measurement (laser shutter closed) before each 40 s ablation</t>
  </si>
  <si>
    <t xml:space="preserve">30 cycles × 0.524 s ≈ 15.7 s background (no laser ablation) at start of each acquisition</t>
  </si>
  <si>
    <t xml:space="preserve">5. Data Processing</t>
  </si>
  <si>
    <t xml:space="preserve">Internal Standard Approach</t>
  </si>
  <si>
    <t xml:space="preserve">Method used to determine the internal standard (IS) element concentration for each unknown sample. This is a fundamental data reduction decision that determines whether an independent measurement of the IS element concentration is required.</t>
  </si>
  <si>
    <t xml:space="preserve">Single element, externally measured (e.g., by EPMA or EDS) | Single element, stoichiometry-derived | Sum-of-major-oxides = 100% normalization (no external measurement required) | Multiple IS elements with weighted-mean sensitivity (requires prior bulk analysis) | Other: specify</t>
  </si>
  <si>
    <t xml:space="preserve">Sum of Fe + Ni + Co = 100% normalization (no external measurement required); eliminates need for independent Fe or Ni determination</t>
  </si>
  <si>
    <t xml:space="preserve">Single element externally measured (²⁵Mg from EPMA for olivine; ³¹P from EPMA for phosphate)</t>
  </si>
  <si>
    <t xml:space="preserve">Sum-of-major-oxides normalization: oxides of 7 MEs (NaO, MgO, Al₂O₃, SiO₂, CaO, TiO₂, FeO) + Cl summed to 100 wt%; depth correction applied using digital microscope measurements of ablation pit depths</t>
  </si>
  <si>
    <t xml:space="preserve">Single element from EPMA (²⁵Mg measured by EPMA)</t>
  </si>
  <si>
    <t xml:space="preserve">Single element externally measured: ⁶¹Ni used as internal standard; Ni concentration in ablated spot determined by EPMA before LA-ICP-MS; calibration curve method used</t>
  </si>
  <si>
    <t xml:space="preserve">Sum of all element oxide mass fractions normalized to 100% (100% oxide normalization; van Elteren et al. 2009 method); corrects for ablation yield variation; eliminates need for homogeneous internal standard</t>
  </si>
  <si>
    <t xml:space="preserve">Two internal standards: Si (from XRF SiO₂) for Co, Ni, Cu, Zn; Al (from XRF Al₂O₃) for all other elements; major element concentrations provided by prior WD-XRF analysis of same glass disk</t>
  </si>
  <si>
    <t xml:space="preserve">Single element from EPMA: Si (SiO₂ from EMP) for glasses; Fe (FeOT from EMP) for sulfides</t>
  </si>
  <si>
    <t xml:space="preserve">Sum of Fe + Ni + Co = 100% normalization (Fe + Ni + Co masses set to 100%); eliminates need for independent major-element measurement; normalization mandatory for multiphasic mapping samples</t>
  </si>
  <si>
    <t xml:space="preserve">External calibration only (no internal standard); elemental fractionation corrected using reference glasses; Rb/Sr ratio calculated from ⁸⁵Rb and ⁸⁸Sr signals</t>
  </si>
  <si>
    <t xml:space="preserve">Internal Standard Element</t>
  </si>
  <si>
    <t xml:space="preserve">Element(s) used as the internal standard, and how the IS concentration value was determined for unknowns.</t>
  </si>
  <si>
    <t xml:space="preserve">e.g., 'Si; SiO₂ from EPMA' | 'Ca; individual shard EPMA values' | 'Sum of oxides = 100% (Liu et al. 2008 method)' | 'Si, Ca, Al, Fe, Mg (multiple IS, weighted mean)'</t>
  </si>
  <si>
    <t xml:space="preserve">Fe, Ni, Co (sum = 100%)</t>
  </si>
  <si>
    <t xml:space="preserve">²⁵Mg (olivine); ³¹P (phosphate) — EPMA-derived concentrations used</t>
  </si>
  <si>
    <t xml:space="preserve">No single IS element; 100% oxide normalization using 7 MEs + Cl; pit depth measured by digital microscope (LEICA DVM5000) for volume correction (ablation volume correction applied separately)</t>
  </si>
  <si>
    <t xml:space="preserve">²⁵Mg; concentration from EMPA data used as standardizing value; EMPA MgO used as indexing element</t>
  </si>
  <si>
    <t xml:space="preserve">⁶¹Ni — concentration from EPMA (Ni wt% measured at exact analytical spot before LA)</t>
  </si>
  <si>
    <t xml:space="preserve">No single internal standard element; full 100% oxide normalization across all detected elements</t>
  </si>
  <si>
    <t xml:space="preserve">Si (for Co, Ni, Cu, Zn from XRF); Al (for all other trace elements from XRF) — dual internal standard strategy determined by fractionation behaviour</t>
  </si>
  <si>
    <t xml:space="preserve">Si (SiO₂ from EMP for glass); Fe (FeOT from EMP for sulfide)</t>
  </si>
  <si>
    <t xml:space="preserve">Fe + Ni + Co (sum = 100%)</t>
  </si>
  <si>
    <t xml:space="preserve">No conventional internal standard; ⁸⁵Rb used to calculate Rb/Sr ratio; external reference glasses used for Rb/Sr elemental fractionation correction</t>
  </si>
  <si>
    <t xml:space="preserve">Elemental Fractionation Correction</t>
  </si>
  <si>
    <t xml:space="preserve">Method used to correct for laser-induced elemental fractionation (LIEF) including downhole fractionation, referencing the correction algorithm and the material used.</t>
  </si>
  <si>
    <t xml:space="preserve">e.g., 'Normalised to NIST SRM 612; no additional downhole correction' | 'Exponential downhole fractionation correction in Iolite using NIST SRM 612' | 'Linear time-drift correction applied per analysis'</t>
  </si>
  <si>
    <t xml:space="preserve">Standardization techniques follow Humayun (2012); North Chile used as primary matrix-matched standard; yield corrections between NIST SRM 1263a and meteorite standards applied; calibration against North Chile (for Fe, Co, Ni, Cu, Ga, Ge, As, W, Au) and Hoba (for Ru, Rh, Pd, Re, Os, Ir, Pt)</t>
  </si>
  <si>
    <t xml:space="preserve">Time-resolved signal processed per analysis; downhole fractionation corrected in iolite/in-house software using repeated standard bracketing</t>
  </si>
  <si>
    <t xml:space="preserve">Femtosecond laser minimizes elemental fractionation (non-thermal ablation); depth-of-ablation correction applied using digital microscope measurements (4–12 µm for FGs); normalization to 100% oxide sum further corrects for ablation yield variation</t>
  </si>
  <si>
    <t xml:space="preserve">External calibration using BCR-2g, BHVO-2g, BIR-1g; ²⁵Mg internal standard from EMPA corrects for ablation yield variation; no explicit downhole fractionation correction method described</t>
  </si>
  <si>
    <t xml:space="preserve">Calibration curve method using IVB iron meteorite standards (Warburton Range + Tawallah Valley) as primary calibrators; ⁶¹Ni from EPMA as internal standard corrects for ablation yield variation; matrix-matched iron standard eliminates most elemental fractionation concerns</t>
  </si>
  <si>
    <t xml:space="preserve">Multi-point external calibration using least-squares regression against multiple glass GRMs; regression forced through zero with gas blank included; followed by 100% oxide normalization to correct ablation yield variation</t>
  </si>
  <si>
    <t xml:space="preserve">Femtosecond laser used to minimize matrix effects and elemental fractionation; stoichiometric ablation assumption justified (fs lasers cited as fractionation-free); NIST 612+614 used as non-matrix-matched calibrators</t>
  </si>
  <si>
    <t xml:space="preserve">Normalized to NIST 610 as external standard (primary); NIST 612 and BCR-2G as monitors; Si and Fe from EMP as internal standards correct for ablation yield differences</t>
  </si>
  <si>
    <t xml:space="preserve">Yield corrections for NIST SRM 612 relative to North Chile meteorite using 3D DRS (iolite 4.5.7); ordinary least-squares fitting of North Chile + NIST 612 signals per 15-min calibration block; temporal interpolation between blocks</t>
  </si>
  <si>
    <t xml:space="preserve">External calibration using series of reference glasses (14 materials) to derive average Rb/Sr elemental fractionation correction factor; applied uniformly to samples and standards; exponential law used for Sr isotope mass fractionation</t>
  </si>
  <si>
    <t xml:space="preserve">Matrix Offset Correction (LIEF)</t>
  </si>
  <si>
    <t xml:space="preserve">Whether an empirical correction was applied to account for systematic differences in laser-induced elemental fractionation (LIEF) patterns between the external calibration standard and the sample matrix. Such offsets arise when the calibration material (e.g., NIST SRM 612 soda-lime glass) ablates differently from natural geological materials.</t>
  </si>
  <si>
    <t xml:space="preserve">e.g., 'Applied: 6.4% offset in Ca/Si determined by comparison with EPMA (Jenner &amp; O'Neill 2012)' | 'Not applied; Ca used as IS to cancel LIEF offset' | 'Not applicable'</t>
  </si>
  <si>
    <t xml:space="preserve">Signal Integration Interval Method</t>
  </si>
  <si>
    <t xml:space="preserve">Approach used to select the stable signal interval for integration during data reduction, and to exclude anomalous signals from inclusions or cracks.</t>
  </si>
  <si>
    <t xml:space="preserve">Manual visual inspection per analysis | Automated threshold (specify software and threshold) | Fixed time window applied uniformly | Other: specify</t>
  </si>
  <si>
    <t xml:space="preserve">Manual visual inspection of time-resolved signal; stable intervals selected; anomalous spikes (inclusions, cracks) excluded</t>
  </si>
  <si>
    <t xml:space="preserve">Automated selection in IOLITE using user-defined thresholds; manual review</t>
  </si>
  <si>
    <t xml:space="preserve">Manual visual inspection per analysis</t>
  </si>
  <si>
    <t xml:space="preserve">Time-resolved signals monitored during ablation; analyses with elevated Mg, Si, P, S (inclusion indicators) excluded; stable intervals used for quantification</t>
  </si>
  <si>
    <t xml:space="preserve">VOI (Volume of Interest) selection using k-means clustering algorithm in HDIP software, or manual selection; each VOI corresponds to compositionally distinct phase or area; pixels integrated per VOI</t>
  </si>
  <si>
    <t xml:space="preserve">Time-resolved signal inspected visually; micronuggets identified from spikes in Au signal and excluded from integration window</t>
  </si>
  <si>
    <t xml:space="preserve">Regions of integration for gas background and sample selected manually; beginning and end cycles of ablation signal discarded</t>
  </si>
  <si>
    <t xml:space="preserve">Spike / Outlier Filtering Approach</t>
  </si>
  <si>
    <t xml:space="preserve">Method used to identify and remove anomalous signal spikes arising from micronuggets, inclusions, or instrument artifacts during time-resolved signal processing.</t>
  </si>
  <si>
    <t xml:space="preserve">e.g., 'Significant single spikes visually identified and removed in Iolite' | 'Statistical filter: data points &gt;3σ from running mean removed' | 'No filtering applied' | 'Automated spike detection in SILLS'</t>
  </si>
  <si>
    <t xml:space="preserve">Time-resolved signals inspected visually; anomalous spikes from inclusions flagged and removed in iolite</t>
  </si>
  <si>
    <t xml:space="preserve">Automated spike detection in IOLITE</t>
  </si>
  <si>
    <t xml:space="preserve">Manual inspection</t>
  </si>
  <si>
    <t xml:space="preserve">Analyses showing elevated Mg, Si, P or S intensities (indicating micro-inclusions of silicate, phosphide or sulfide) identified and excluded from dataset</t>
  </si>
  <si>
    <t xml:space="preserve">Time-resolved LA-ICP-MS signals inspected to identify micronuggets of Au (sharp spikes); only analyses free from micronuggets, or where spikes could be cleanly removed, were accepted</t>
  </si>
  <si>
    <t xml:space="preserve">Blank / Background Correction Method</t>
  </si>
  <si>
    <t xml:space="preserve">Method used to subtract the gas blank (background signal) from the ablation signal.</t>
  </si>
  <si>
    <t xml:space="preserve">e.g., 'Mean of 30 s pre-ablation gas blank subtracted per isotope' | 'Background measured before and after each ablation; linear interpolation applied'</t>
  </si>
  <si>
    <t xml:space="preserve">Mean of 30 s pre-ablation gas blank subtracted per isotope before external calibration</t>
  </si>
  <si>
    <t xml:space="preserve">Gas blank measured before each analysis (laser shutter closed; duration not stated); time-resolved signals inspected manually; anomalous time steps excluded (inclusions, cracks, heterogeneity)</t>
  </si>
  <si>
    <t xml:space="preserve">Gas blank measured as 10-adjacent-line-scan map with laser shutter closed; gas blank data used in LoD calculation (Pettke et al. 2012 equation) and subtracted in HDIP prior to calibration</t>
  </si>
  <si>
    <t xml:space="preserve">Gas blank measured for 25 s before each ablation; flux procedure blank also prepared (350 mg Li₂B₄O₇ + 10 mg Al₂O₃); flux blank contributions deducted from pollution element results</t>
  </si>
  <si>
    <t xml:space="preserve">Background signal measured for 20 s (laser shutter closed) before each 40 s ablation; median LOD calculated per element across all acquisitions (Longerich et al. 1996 equations in iolite 4)</t>
  </si>
  <si>
    <t xml:space="preserve">First 30 cycles (no laser ablation) used for background collection; background Kr⁺ signal corrected; no additional Kr peak stripping applied</t>
  </si>
  <si>
    <t xml:space="preserve">Pulse/Analog Detector Nonlinearity Correction</t>
  </si>
  <si>
    <t xml:space="preserve">Whether a correction was applied for nonlinear response at the transition between pulse-counting and analog detector modes. Bias of 3–5% relative can affect elements whose signal intensity crosses the pulse/analog threshold between the standard and the unknown.</t>
  </si>
  <si>
    <t xml:space="preserve">Not applicable (instrument uses pulse counting only) | Applied: describe method and elements affected | Not applied (crossover threshold not reached for any element) | Not applied (known bias accepted)</t>
  </si>
  <si>
    <t xml:space="preserve">Isobaric Interference Corrections Applied</t>
  </si>
  <si>
    <t xml:space="preserve">Whether isobaric interference corrections were applied for this isotope.</t>
  </si>
  <si>
    <t xml:space="preserve">Boolean</t>
  </si>
  <si>
    <t xml:space="preserve">Yes | No</t>
  </si>
  <si>
    <t xml:space="preserve">Yes — applied for ⁸⁷Rb on ⁸⁷Sr; ⁴⁰Ar³²S on ⁷²Ge; ⁴⁰Ar⁴⁰Ar on ⁸⁰Se; oxide interferences on REEs (BaO, LREEoxides) corrected</t>
  </si>
  <si>
    <t xml:space="preserve">Yes — KED (kinetic energy discrimination) mode using He collision gas suppresses polyatomic ion interferences (e.g., oxide ions ⁴⁰Ar⁺ based); oxide production rate ThO/Th kept &lt;1%; CRC technique effective for accurate REE analysis</t>
  </si>
  <si>
    <t xml:space="preserve">Partial — no explicit isobaric interference corrections stated; ²⁴Mg, ²⁹Si, ³¹P, ³³S monitored to identify and avoid micro-inclusions of sulfides and phosphides during ablation; ¹⁰¹Ru used (not ¹⁰³Rh overlap potential) — implicit isotope selection to minimize interferences</t>
  </si>
  <si>
    <t xml:space="preserve">N (interference corrections not applied per se; Ar-related ions are physically attenuated using notch-filter quadrupole: mass regions of ³⁶Ar⁺, ⁴⁰Ar⁺, ⁴⁰ArH⁺, ⁴⁰Ar⁴⁰Ar⁺ attenuated to prevent detector saturation; affects neighbouring element LoDs e.g., K)</t>
  </si>
  <si>
    <t xml:space="preserve">Yes — ¹⁶⁸Er²⁺ on ⁸⁴Sr; ¹⁷⁰Er²⁺ + ¹⁷⁰Yb²⁺ on ⁸⁵Rb; ¹⁷²Yb²⁺ on ⁸⁶Sr; ¹⁷⁴Yb²⁺ on ⁸⁷Sr; ⁸⁷Rb on ⁸⁷Sr — all corrected</t>
  </si>
  <si>
    <t xml:space="preserve">Interfering Species</t>
  </si>
  <si>
    <t xml:space="preserve">Elemental or molecular species (oxides, argides, doubly charged ions) overlapping with the measured isotope.</t>
  </si>
  <si>
    <t xml:space="preserve">e.g., '⁸⁷Rb on ⁸⁷Sr' | '²⁹Si¹⁶O on ⁴⁵Sc' | 'BaO on ¹⁵³Eu' | '⁹⁰Zr¹⁷O and ⁹¹Zr¹⁶O on ¹⁰⁷Ag' | 'None'</t>
  </si>
  <si>
    <t xml:space="preserve">⁸⁷Rb on ⁸⁷Sr; ⁴⁰Ar³²S on ⁷²Ge; BaO on Eu; LREE oxides on HREE</t>
  </si>
  <si>
    <t xml:space="preserve">Polyatomic ions (oxide ions ThO⁺/Th⁺ as proxy); argide ions suppressed by KED; no specific element-by-element interference list given</t>
  </si>
  <si>
    <t xml:space="preserve">Sulfide inclusions detectable via ³³S signal; phosphide inclusions detectable via ³¹P signal; silicate inclusions via ²⁴Mg, ²⁹Si; monitoring strategy used to identify contaminated analyses for exclusion</t>
  </si>
  <si>
    <t xml:space="preserve">³⁶Ar⁺, ⁴⁰Ar⁺, ⁴⁰ArH⁺, ⁴⁰Ar⁴⁰Ar⁺ (attenuated by notch-filter); ³⁸Ar⁺ and neighbouring mass regions also affected (e.g., K LoD elevated by notching near ³⁹K⁺)</t>
  </si>
  <si>
    <t xml:space="preserve">⁴⁰Ar⁶¹Ni⁺ on ¹⁰¹Ru (most abundant Ru isotope → use ⁹⁹Ru instead); ⁴⁰Ar⁵⁹Co⁺ on ⁹⁹Ru (less severe); isotope selection decisions documented in Table 2</t>
  </si>
  <si>
    <t xml:space="preserve">¹⁶⁸Er²⁺ on ⁸⁴Sr; ¹⁷⁰Er²⁺ and ¹⁷⁰Yb²⁺ on ⁸⁵Rb; ¹⁷²Yb²⁺ on ⁸⁶Sr; ¹⁷⁴Yb²⁺ on ⁸⁷Sr; ⁸⁷Rb on ⁸⁷Sr</t>
  </si>
  <si>
    <t xml:space="preserve">Interference Correction Method</t>
  </si>
  <si>
    <t xml:space="preserve">Equation or procedure used to correct for isobaric interferences, including the production rate factor and the reference material used to measure it.</t>
  </si>
  <si>
    <t xml:space="preserve">e.g., 'Production rate f=0.0128 for ²⁹Si¹⁶O on ⁴⁵Sc, measured on San Carlos olivine vs NIST SRM 610 (Jenner &amp; O'Neill 2012)' | 'BaO/Ba measured on Ba-rich mineral; applied as linear correction'</t>
  </si>
  <si>
    <t xml:space="preserve">Production rates measured on reference materials with high concentrations of interfering elements; linear correction equations applied</t>
  </si>
  <si>
    <t xml:space="preserve">KED mode with He collision gas (4 ml min⁻¹); gas flow optimized to minimize oxide production (ThO/Th &lt;1%) while maintaining REE ion transmission; mathematical corrections not described</t>
  </si>
  <si>
    <t xml:space="preserve">Monitoring approach: if Mg, Si, P, S intensities elevated during ablation, analysis flagged as contaminated by inclusions and excluded; no mathematical interference correction described</t>
  </si>
  <si>
    <t xml:space="preserve">Physical attenuation of Ar-based ions using notch-filter quadrupole prior to mass analyser (not a mathematical correction); reduces detector saturation</t>
  </si>
  <si>
    <t xml:space="preserve">Isotopes chosen to minimize interference (e.g., ⁹⁹Ru instead of ¹⁰¹Ru); isobaric avoidance by isotope selection rather than mathematical correction</t>
  </si>
  <si>
    <t xml:space="preserve">(a) Monitored ¹⁶⁷Er²⁺, ¹⁷³Yb²⁺, ⁸⁴·⁸⁶⁻⁸⁸Sr and ⁸⁵Rb with natural isotope ratios of Er and Yb used for doubly-charged REE corrections; (b) ⁸⁷Rb on ⁸⁷Sr corrected by monitoring ⁸⁵Rb and user-specified ⁸⁷Rb/⁸⁵Rb ratio using exponential law for mass bias (only valid for ⁸⁷Rb/⁸⁶Sr &lt;1)</t>
  </si>
  <si>
    <t xml:space="preserve">Memory Effect Mitigation</t>
  </si>
  <si>
    <t xml:space="preserve">Protocol applied to identify and minimise memory effects from high-concentration elements in the previous sample or standard that may contaminate subsequent analyses. Particularly relevant for Se, B, As, Ag, Sb, and P.</t>
  </si>
  <si>
    <t xml:space="preserve">e.g., 'Extended washout (≥60 s He flush) between analyses for Se and Ag' | 'P and K calibrated against BCR-2G rather than NIST SRM 612 to avoid memory from high NIST P content' | 'Teflon tubing replaced between sessions to eliminate Se memory' | 'No specific protocol'</t>
  </si>
  <si>
    <t xml:space="preserve">Normalization / Standards-Based Correction</t>
  </si>
  <si>
    <t xml:space="preserve">Any post-acquisition normalization applied using secondary reference materials.</t>
  </si>
  <si>
    <t xml:space="preserve">e.g., 'Normalized to NIST SRM 610 measured in same session' | 'None'</t>
  </si>
  <si>
    <t xml:space="preserve">Yield correction factors for NIST SRM 612 relative to North Chile calculated; calibration surfaces applied to unknowns; sum Fe+Ni+Co=100% applied as final normalization step</t>
  </si>
  <si>
    <t xml:space="preserve">In-house correction applied using repeated GRM measurements; relative sensitivity factors computed from NIST SRM 610/612 and matrix-matched glass standards</t>
  </si>
  <si>
    <t xml:space="preserve">Normalized to NIST SRM 612 as primary; no further post-acquisition normalization stated</t>
  </si>
  <si>
    <t xml:space="preserve">100% oxide sum normalization applied after external calibration in HDIP; corrects for ablation yield variability and eliminates need for homogeneous internal standard</t>
  </si>
  <si>
    <t xml:space="preserve">Fe + Ni + Co = 100% sum normalization applied in iolite 3D Trace Elements DRS after yield correction; eliminates drift correction and internal standard requirement</t>
  </si>
  <si>
    <t xml:space="preserve">⁸⁸Sr/⁸⁶Sr = 8.37520933 assumed for Sr isotope mass fractionation correction (exponential law); external calibration of ⁸⁷Rb/⁸⁶Sr using average correction factor from 14 reference glasses</t>
  </si>
  <si>
    <t xml:space="preserve">6. Quality Control &amp; Uncertainty</t>
  </si>
  <si>
    <t xml:space="preserve">Primary Calibration Standard Name</t>
  </si>
  <si>
    <t xml:space="preserve">Primary reference material(s) used to calibrate and standardise the instrument. Include material source and DOI or citation for the accepted concentration values used.</t>
  </si>
  <si>
    <t xml:space="preserve">e.g., 'NIST SRM 612 (Jochum et al. 2011, doi:10.1111/j.1751-908X.2011.00120.x)' | 'USGS BCR-2G (GeoReM preferred values)' | 'ARM-3 (Wu et al. 2019)'</t>
  </si>
  <si>
    <t xml:space="preserve">NIST SRM 612 (Jochum et al. 2011) + North Chile iron meteorite (Gilmour &amp; Herd 2020, M&amp;PS) as co-primary for matrix-matched calibration</t>
  </si>
  <si>
    <t xml:space="preserve">NIST SRM 610 (Jochum et al. 2011, Geostand. Geoanal. Res. 35:397–429); NIST SRM 612 used as secondary anchor</t>
  </si>
  <si>
    <t xml:space="preserve">NIST SRM 612 (glass, REE reference); natural mineral references: augite (Morogoro, Tanzania, Nichika Inc.) for Mg, Al, Fe; olivine (Horoman, Hokkaido) for Mg, Si, Fe; Cl-apatite (Chichibu, Saitama) for Cl; titanite (Mount Dromedary Complex) for Ca, Ti</t>
  </si>
  <si>
    <t xml:space="preserve">USGS standard glasses BCR-2g, BHVO-2g, and BIR-1g; preferred values from GeoReM website (http://georem.mpch-mainz.gwdg.de/sample_query_pref.asp)</t>
  </si>
  <si>
    <t xml:space="preserve">IVB iron meteorites Warburton Range (external standard) and Tawallah Valley (secondary standard); elemental abundances from Walker et al. (2008), GCA 72:2198–2216</t>
  </si>
  <si>
    <t xml:space="preserve">Multiple natural glass GRMs used for multi-point external calibration: USGS GSE-1G, GSD-1G (synthetic basaltic); BIR-1G, BHVO-2G, BCR-2G (basaltic); NKT-1G (nephelinitic); MPI-DING GOR128-G, GOR132-G (komatiitic); ML3B-G, KL2-G (basaltic); ATHO-G (rhyolitic); StHs6/80-G (andesitic); T1-G (dioritic). Certified values preferred; GeoReM values used when certified unavailable</t>
  </si>
  <si>
    <t xml:space="preserve">NIST SRM 612 + NIST SRM 614 (non-matrix-matched, used together for better calibration range); BHVO-2 lithium borate glass (matrix-matched, self-prepared) also tested</t>
  </si>
  <si>
    <t xml:space="preserve">NIST SRM 610 (primary external standard, Jochum et al. 2011); NIST SRM 612 and BCR-2G as monitors</t>
  </si>
  <si>
    <t xml:space="preserve">NIST SRM 612 (Jochum et al. 2011) + North Chile Filomena iron meteorite (Gilmour &amp; Herd 2020) as co-primary (complementary: SRM 612 lacks Ir, Os, Pd, Pt, Rh, Ru at detectable levels; North Chile used for PGEs and siderophiles)</t>
  </si>
  <si>
    <t xml:space="preserve">Multiple glass reference materials used as external standards for Rb/Sr calibration: NIST SRM 610, 612 (Jochum et al. 2011); USGS BCR-2G, BHVO-2G, NKT-1G, TB-1G; MPI-DING ATHO-G, KL2-G, ML3B-G, StHs6/80-G, T1-G (11 glasses total with known ⁸⁷Rb/⁸⁶Sr); 3 natural minerals used for ⁸⁷Sr/⁸⁶Sr accuracy check</t>
  </si>
  <si>
    <t xml:space="preserve">Secondary Reference Materials</t>
  </si>
  <si>
    <t xml:space="preserve">Quality-control reference materials (secondary standards) routinely analysed alongside unknowns in the same session. Include material name and source of accepted values used for comparison.</t>
  </si>
  <si>
    <t xml:space="preserve">e.g., 'NIST SRM 610, ATHO-G, STHS-G (GeoReM preferred values)' | 'GOR132-G (Jochum et al. 2006)'</t>
  </si>
  <si>
    <t xml:space="preserve">Hoba iron meteorite; Guadalupe y Calvo iron meteorite; Campo del Cielo; Santa Catharina; Dronino; Gibeon; Indianópolis; Nossa Senhora do Livramento; Santo Antônio do Descoberto (all validated against published INAA values)</t>
  </si>
  <si>
    <t xml:space="preserve">GOR132-G, StHs6/80-G, T1-G (MPI-DING); BCR-2G, BHVO-2G (USGS) — processed as unknowns and compared against GeoReM values</t>
  </si>
  <si>
    <t xml:space="preserve">BHVO-2G processed as unknown for accuracy assessment</t>
  </si>
  <si>
    <t xml:space="preserve">BCR-2G, BHVO-2G, BIR-1G (processed as unknowns alongside unknowns)</t>
  </si>
  <si>
    <t xml:space="preserve">Tawallah Valley IVB iron meteorite (measured as secondary/check standard; results compared to Walker et al. 2008 and Williams et al. 2006); ²⁴Mg, ²⁹Si, ³¹P, ³³S monitored to detect inclusions during ablation</t>
  </si>
  <si>
    <t xml:space="preserve">BHVO-2G (USGS) and StHs6/80-G (MPI-DING) designated as secondary QC materials; measured in 8 and 6 sessions respectively across 1-year period; GeoReM consensus values used for comparison</t>
  </si>
  <si>
    <t xml:space="preserve">AC-E, GSR-1, JB-1b, GSR-3, AGV-2, W-2A (6 silicate rock GRMs spanning mafic to felsic; GeoReM database preferred values used); NWA13190 (shergottite) and NWA14526 (lunar basalt) validated against SN-ICP-MS</t>
  </si>
  <si>
    <t xml:space="preserve">NIST SRM 612 and BCR-2G (monitoring standards); results compared to GeoReM preferred values</t>
  </si>
  <si>
    <t xml:space="preserve">8 known iron meteorites (Arraias, Campo del Cielo, Dronino, Gibeon, Indianópolis, Santa Catharina, Santo Antônio do Descoberto, Nossa Senhora do Livramento); published INAA values used for comparison</t>
  </si>
  <si>
    <t xml:space="preserve">Two natural clinopyroxenes (NHB-9, YY12-01) and one natural anorthite (YG4301) used for ⁸⁷Sr/⁸⁶Sr accuracy verification; 14 reference glasses used for overall method assessment</t>
  </si>
  <si>
    <t xml:space="preserve">Typical Detection Limit</t>
  </si>
  <si>
    <t xml:space="preserve">Method detection limit at 99% confidence (3σ of background counts) for each measured isotope. Report value, units, and calculation method.</t>
  </si>
  <si>
    <t xml:space="preserve">Numeric (ppm or wt%)</t>
  </si>
  <si>
    <t xml:space="preserve">e.g., &lt;0.03 ng g⁻¹ for most REEs (3σ background); sample-individual LOD per Pettke et al. 2012</t>
  </si>
  <si>
    <t xml:space="preserve">LOD in µg g⁻¹: As 2, Au 0.1, Co 2, Cr 19, Cu 0.8, Fe 60, Ga 0.3, Ge 3, Ir 0.2, Ni 36, Os 0.2, Pd 0.5, Pt 0.3, Re 0.1, Rh 0.1, Ru 1, W 1 (median values, Longerich et al. 1996)</t>
  </si>
  <si>
    <t xml:space="preserve">LoDs in µg g⁻¹: P ~5, REEs 0.003–0.05 (Yb, Lu), Rb, Sr, Y, Zr ~0.005–0.01; element-specific, calculated as 3σ of background</t>
  </si>
  <si>
    <t xml:space="preserve">Lu measured down to ~10 ng g⁻¹ (0.4× CI-normalized); measurement uncertainties for individual data points 20–50%; REE factor of 2–10 variation between mineral phases detectable</t>
  </si>
  <si>
    <t xml:space="preserve">LoDs for 56 elements determined in 7 mapping sessions over 1 year; range 0.1–10 µg g⁻¹ for most elements when using 5×5 µm square spot; down to 10 ng g⁻¹ for some REEs; LoDs correspond to 0.004–0.05 mm² integrated map areas; calculated using Pettke et al. (2012) equation</t>
  </si>
  <si>
    <t xml:space="preserve">LoDs calculated per Pettke (2012); range 0.005–23.5 µg g⁻¹ for 32 elements in BHVO-2 borate glass (elevated by 35× dilution); NIST 610 LoDs: 0.007–0.45 µg g⁻¹ for comparison; LOQ = 3.3 × LOD; flux blank LOQ = blank + 10SD for pollution elements (V, Co, Zn, Ba, La, Ce, Ta, U)</t>
  </si>
  <si>
    <t xml:space="preserve">LoDs in µg g⁻¹ (median): As 2, Au 0.1, Co 2, Cr 19, Cu 0.8, Fe 60, Ga 0.3, Ge 3, Ir 0.2, Ni 36, Os 0.2, Pd 0.5, Pt 0.3, Re 0.1, Rh 0.1, Ru 1, W 1; calculated using Longerich et al. (1996) equations in iolite 4 (individual LOD per acquisition)</t>
  </si>
  <si>
    <t xml:space="preserve">Detection Limit Method</t>
  </si>
  <si>
    <t xml:space="preserve">Reference or description of the method used to calculate detection limits.</t>
  </si>
  <si>
    <t xml:space="preserve">Text / URI</t>
  </si>
  <si>
    <t xml:space="preserve">e.g., '3σ of background ion counts (Longerich et al. 1996)' | 'Sample-individual LOD per Pettke et al. (2012), doi:10.1016/j.oregeorev.2011.11.001'</t>
  </si>
  <si>
    <t xml:space="preserve">Longerich et al. 1996 (J. Anal. At. Spectrom. 11:899–904); individual LOD calculated per acquisition in iolite 4</t>
  </si>
  <si>
    <t xml:space="preserve">3σ of mean gas blank signal (Longerich et al. 1996)</t>
  </si>
  <si>
    <t xml:space="preserve">Pettke et al. 2012 (Ore Geol. Rev. 44:10–38) equation using gas blank count rate, dwell time, number of sweeps for background and analyte, and sensitivity; LoDs correspond to integrated map areas (0.004–0.05 mm²), not single pixels</t>
  </si>
  <si>
    <t xml:space="preserve">Pettke (2012) — same equation as Chernonozhkin 2024; LOQ = 3.3 × LOD; for pollution elements: LOQ = blank + 10SD per IUPAC Gold Book</t>
  </si>
  <si>
    <t xml:space="preserve">Longerich et al. 1996 (J. Anal. At. Spectrom. 11:899–904); LOD computed individually per acquisition in iolite 4 (amount of material ablated differs per analysis); Table 3 reports median values</t>
  </si>
  <si>
    <t xml:space="preserve">Within-Session Analytical Precision</t>
  </si>
  <si>
    <t xml:space="preserve">Reproducibility of repeated measurements within a single analytical session on the same or equivalent reference material, expressed as 1σ or 2σ relative standard deviation (%). Report n and the material used.</t>
  </si>
  <si>
    <t xml:space="preserve">e.g., '1.5% RSD (1σ, n=5 per session on NIST SRM 612 for Ba)' | '&lt;3% 2RSD for Eu/Eu* on GOR132-G (n=10)'</t>
  </si>
  <si>
    <t xml:space="preserve">RSD &lt;15% for most elements; Cr, Ir, Os: ~20% RSD under repeatability conditions (n=20 spot analyses in Arraias)</t>
  </si>
  <si>
    <t xml:space="preserve">Precision &lt;5% RSD (1σ) for most elements in olivine; &lt;10% for P and trace elements in phosphate (n=3–10 per session)</t>
  </si>
  <si>
    <t xml:space="preserve">20–50% uncertainty for individual REE data points; REE abundance differences of factor 2–10 between mineral phases reliably detected; differences within factor 2 difficult to distinguish</t>
  </si>
  <si>
    <t xml:space="preserve">For most elements at ≥10 µg g⁻¹: 5–15% RSD (intermediate precision); for &lt;10 µg g⁻¹: 5–30% RSD; demonstrated over 8 sessions in 1 year on BHVO-2G (n=8 maps); some elements (Cd, Cs, In) unreliable due to low intensities</t>
  </si>
  <si>
    <t xml:space="preserve">RSD &lt;15% for most elements in Arraias meteorite (n=20 spot analyses, repeatability conditions); worst case Cr, Ir, Os ~20% RSD; North Chile measured repeatedly over 4 months for intermediate precision (same result: ≤20% RSD in worst case)</t>
  </si>
  <si>
    <t xml:space="preserve">Between-Session (Long-Term) Analytical Precision</t>
  </si>
  <si>
    <t xml:space="preserve">Reproducibility of measurements across multiple analytical sessions, expressed as 1σ or 2σ relative standard deviation (%). Long-term precision is typically 2–3× worse than within-session precision and is more representative of overall method reproducibility.</t>
  </si>
  <si>
    <t xml:space="preserve">e.g., '3% 2RSD across 12 sessions over 8 months on KL-2G for Eu/Eu*' | '2% RSD (1σ, 17 sessions over 3 years for BCR-2G La)'</t>
  </si>
  <si>
    <t xml:space="preserve">Intermediate precision (between 8 sessions over 1 year): 5–15% RSD for elements ≥10 µg g⁻¹; 5–30% RSD for &lt;10 µg g⁻¹ (2RSD); demonstrated on BHVO-2G (n=8); results for W in StHs6/80-G: 0.35 ± 0.25 µg g⁻¹; BHVO-2G: 0.26 ± 0.18 µg g⁻¹ over 1 year</t>
  </si>
  <si>
    <t xml:space="preserve">Intermediate precision assessed on North Chile meteorite measured over 4 months (different days, new calibration curves each day): ≤20% RSD in worst case (same as repeatability); North Chile used for intermediate precision, not bias assessment</t>
  </si>
  <si>
    <t xml:space="preserve">Typical Analytical Accuracy</t>
  </si>
  <si>
    <t xml:space="preserve">Offset between measured and accepted reference values for secondary standards, expressed as % relative bias.</t>
  </si>
  <si>
    <t xml:space="preserve">e.g., 'Within 5% of GeoReM preferred values for most REEs on GOR132-G' | '+1.5% relative to GeoReM preferred value for NIST SRM 610 Ba'</t>
  </si>
  <si>
    <t xml:space="preserve">Within ±20% of published values for &gt;75% of elements (INAA comparison); Au and Ge in perfect agreement; outliers (Ir in some samples) attributed to natural heterogeneity</t>
  </si>
  <si>
    <t xml:space="preserve">Within ±10% of GeoReM preferred values for REEs and most trace elements in GOR132-G and BHVO-2G; phosphate: within ±15% for most elements</t>
  </si>
  <si>
    <t xml:space="preserve">Sc: good agreement with Davis (1977) INAA (within scatter envelope); Cr: scatter along equiline vs Davis and INAA, Pavlodar anomalous (heterogeneous); Zn: scatter vs INAA; in-situ Ca, V, Cr compared to Hsu (2003) SIMS with systematic offsets attributed to grain heterogeneity, not analytical bias; Sc: no systematic offset vs SIMS</t>
  </si>
  <si>
    <t xml:space="preserve">No systematic bias demonstrated; measured values for W in StHs6/80-G (0.35 ± 0.25 µg g⁻¹) and BHVO-2G (0.26 ± 0.18 µg g⁻¹) fall within GeoReM consensus ranges; MSWD for Cu and W in BHVO-2G &lt;1 (measurement uncertainties slightly overestimated)</t>
  </si>
  <si>
    <t xml:space="preserve">Within 10% of GeoReM reference values for most of 32 trace elements in 6 silicate rock GRMs (AC-E, GSR-1, JB-1b, GSR-3, AGV-2, W-2A); RSD &lt;10% for most elements; larger discrepancies (&gt;15%) for Co, Ni, Cu (contamination during fusion), and some low-concentration elements near LOQ</t>
  </si>
  <si>
    <t xml:space="preserve">Au and Cu fully dissolved in most glasses (smooth signals); data from both laboratories agreed within 10%; Au detection limits ~0.01 ppm; Cu ~0.1 ppm</t>
  </si>
  <si>
    <t xml:space="preserve">Within ±20% of published INAA values for &gt;75% of elements; trend lines slope 0.87–1.17 (R²=0.97–1.0) vs published values; no systematic measurement bias; Ir heterogeneity in some samples explains outliers</t>
  </si>
  <si>
    <t xml:space="preserve">⁸⁷Sr/⁸⁶Sr relative error &lt;0.2‰ for reference materials with ⁸⁷Rb/⁸⁶Sr &lt;1; relative error for ⁸⁷Rb/⁸⁶Sr: ±3% across 11 glasses (range -3.46% to +2.89%); SUIA method gives Rb-Sr isochron ages within 1–2% of U-Pb SIMS ages for two lunar meteorites</t>
  </si>
  <si>
    <t xml:space="preserve">Additional Notes</t>
  </si>
  <si>
    <t xml:space="preserve">Any additional context about this method not captured by the structured fields above.</t>
  </si>
  <si>
    <t xml:space="preserve">LA-ICP-ToF-MS maps complement and extend petrographic observations; VOI integration allows quantification of microscopic zones and mineral phases of complex shape; significantly less destructive than conventional 10–50 µm spot LA-ICP-MS; does not require pre-identification of areas of interest or nuclides of interest; synthetic glass GRMs (GSE-1G, GSD-1G) not used for trace element calibration (unnaturally high trace element concentrations → single-point calibration artefact); Fe oxide stoichiometry estimated rather than measured for normalization</t>
  </si>
  <si>
    <t xml:space="preserve">LA-MC-ICP-MS method limited to samples with ⁸⁷Rb/⁸⁶Sr &lt;1 (Rb interference correction breaks down above this threshold); SUIA (Smallest Unit Isochron Age) data reduction method developed to handle heterogeneous Rb/Sr distributions in natural minerals; method complementary to U-Pb dating targeting common rock-forming phases (plagioclase, pyroxene, glass) rather than rare U-Pb-bearing minerals</t>
  </si>
  <si>
    <t xml:space="preserve">Summary: Y count</t>
  </si>
  <si>
    <t xml:space="preserve">Summary: P count</t>
  </si>
  <si>
    <t xml:space="preserve">Summary: N count</t>
  </si>
  <si>
    <t xml:space="preserve">Symbol</t>
  </si>
  <si>
    <t xml:space="preserve">Meaning</t>
  </si>
  <si>
    <t xml:space="preserve">Color</t>
  </si>
  <si>
    <t xml:space="preserve">Y</t>
  </si>
  <si>
    <t xml:space="preserve">Reported in paper</t>
  </si>
  <si>
    <t xml:space="preserve">Green</t>
  </si>
  <si>
    <t xml:space="preserve">P</t>
  </si>
  <si>
    <t xml:space="preserve">Partially reported or inferred from context</t>
  </si>
  <si>
    <t xml:space="preserve">Yellow</t>
  </si>
  <si>
    <t xml:space="preserve">Not reported</t>
  </si>
  <si>
    <t xml:space="preserve">Red/Pink</t>
  </si>
  <si>
    <t xml:space="preserve">Not applicable to this method variant</t>
  </si>
  <si>
    <t xml:space="preserve">Grey</t>
  </si>
</sst>
</file>

<file path=xl/styles.xml><?xml version="1.0" encoding="utf-8"?>
<styleSheet xmlns="http://schemas.openxmlformats.org/spreadsheetml/2006/main">
  <numFmts count="1">
    <numFmt numFmtId="164" formatCode="General"/>
  </numFmts>
  <fonts count="24">
    <font>
      <sz val="11"/>
      <color theme="1"/>
      <name val="Calibri"/>
      <family val="2"/>
      <charset val="1"/>
    </font>
    <font>
      <sz val="10"/>
      <name val="Arial"/>
      <family val="0"/>
    </font>
    <font>
      <sz val="10"/>
      <name val="Arial"/>
      <family val="0"/>
    </font>
    <font>
      <sz val="10"/>
      <name val="Arial"/>
      <family val="0"/>
    </font>
    <font>
      <b val="true"/>
      <sz val="11"/>
      <color rgb="FFFFFFFF"/>
      <name val="Arial"/>
      <family val="2"/>
      <charset val="1"/>
    </font>
    <font>
      <sz val="10"/>
      <color rgb="FFFF0000"/>
      <name val="Arial"/>
      <family val="2"/>
      <charset val="1"/>
    </font>
    <font>
      <b val="true"/>
      <sz val="9"/>
      <color rgb="FFFFFFFF"/>
      <name val="Arial"/>
      <family val="0"/>
      <charset val="1"/>
    </font>
    <font>
      <b val="true"/>
      <sz val="11"/>
      <color theme="1"/>
      <name val="Arial"/>
      <family val="2"/>
      <charset val="1"/>
    </font>
    <font>
      <b val="true"/>
      <sz val="11"/>
      <color rgb="FF000000"/>
      <name val="Arial"/>
      <family val="2"/>
      <charset val="1"/>
    </font>
    <font>
      <sz val="11"/>
      <color rgb="FF000000"/>
      <name val="Arial"/>
      <family val="2"/>
      <charset val="1"/>
    </font>
    <font>
      <b val="true"/>
      <sz val="11"/>
      <color rgb="FFC00000"/>
      <name val="Arial"/>
      <family val="2"/>
      <charset val="1"/>
    </font>
    <font>
      <sz val="10"/>
      <color rgb="FF000000"/>
      <name val="Arial"/>
      <family val="2"/>
      <charset val="1"/>
    </font>
    <font>
      <sz val="8"/>
      <name val="Arial"/>
      <family val="0"/>
      <charset val="1"/>
    </font>
    <font>
      <b val="true"/>
      <sz val="11"/>
      <color rgb="FF375623"/>
      <name val="Arial"/>
      <family val="2"/>
      <charset val="1"/>
    </font>
    <font>
      <b val="true"/>
      <sz val="11"/>
      <color theme="1"/>
      <name val="Calibri"/>
      <family val="2"/>
      <charset val="1"/>
    </font>
    <font>
      <b val="true"/>
      <sz val="11"/>
      <color rgb="FF000000"/>
      <name val="Calibri"/>
      <family val="2"/>
      <charset val="1"/>
    </font>
    <font>
      <sz val="11"/>
      <color rgb="FF000000"/>
      <name val="Calibri"/>
      <family val="2"/>
      <charset val="1"/>
    </font>
    <font>
      <b val="true"/>
      <sz val="10"/>
      <name val="Arial"/>
      <family val="0"/>
      <charset val="1"/>
    </font>
    <font>
      <b val="true"/>
      <sz val="8"/>
      <name val="Arial"/>
      <family val="0"/>
      <charset val="1"/>
    </font>
    <font>
      <b val="true"/>
      <sz val="10"/>
      <color rgb="FF276221"/>
      <name val="Arial"/>
      <family val="0"/>
      <charset val="1"/>
    </font>
    <font>
      <sz val="10"/>
      <name val="Arial"/>
      <family val="0"/>
      <charset val="1"/>
    </font>
    <font>
      <b val="true"/>
      <sz val="10"/>
      <color rgb="FF7D4C00"/>
      <name val="Arial"/>
      <family val="0"/>
      <charset val="1"/>
    </font>
    <font>
      <b val="true"/>
      <sz val="10"/>
      <color rgb="FF9C0006"/>
      <name val="Arial"/>
      <family val="0"/>
      <charset val="1"/>
    </font>
    <font>
      <b val="true"/>
      <sz val="10"/>
      <color rgb="FF595959"/>
      <name val="Arial"/>
      <family val="0"/>
      <charset val="1"/>
    </font>
  </fonts>
  <fills count="22">
    <fill>
      <patternFill patternType="none"/>
    </fill>
    <fill>
      <patternFill patternType="gray125"/>
    </fill>
    <fill>
      <patternFill patternType="solid">
        <fgColor rgb="FF1F4E79"/>
        <bgColor rgb="FF003366"/>
      </patternFill>
    </fill>
    <fill>
      <patternFill patternType="solid">
        <fgColor rgb="FF4472C4"/>
        <bgColor rgb="FF2E75B6"/>
      </patternFill>
    </fill>
    <fill>
      <patternFill patternType="solid">
        <fgColor rgb="FF8DB4E2"/>
        <bgColor rgb="FFB3A2C7"/>
      </patternFill>
    </fill>
    <fill>
      <patternFill patternType="solid">
        <fgColor rgb="FF2E75B6"/>
        <bgColor rgb="FF4472C4"/>
      </patternFill>
    </fill>
    <fill>
      <patternFill patternType="solid">
        <fgColor rgb="FFFFC7CE"/>
        <bgColor rgb="FFFFCCCC"/>
      </patternFill>
    </fill>
    <fill>
      <patternFill patternType="solid">
        <fgColor rgb="FFC6EFCE"/>
        <bgColor rgb="FFDCE6F1"/>
      </patternFill>
    </fill>
    <fill>
      <patternFill patternType="solid">
        <fgColor rgb="FFDCE6F1"/>
        <bgColor rgb="FFE6E0EC"/>
      </patternFill>
    </fill>
    <fill>
      <patternFill patternType="solid">
        <fgColor rgb="FFFABF8F"/>
        <bgColor rgb="FFFFC7CE"/>
      </patternFill>
    </fill>
    <fill>
      <patternFill patternType="solid">
        <fgColor theme="9" tint="0.7999"/>
        <bgColor rgb="FFEBF1DE"/>
      </patternFill>
    </fill>
    <fill>
      <patternFill patternType="solid">
        <fgColor rgb="FFD9D9D9"/>
        <bgColor rgb="FFE6E0EC"/>
      </patternFill>
    </fill>
    <fill>
      <patternFill patternType="solid">
        <fgColor theme="6" tint="0.3999"/>
        <bgColor rgb="FFBFBFBF"/>
      </patternFill>
    </fill>
    <fill>
      <patternFill patternType="solid">
        <fgColor theme="6" tint="0.7999"/>
        <bgColor rgb="FFF2F2F2"/>
      </patternFill>
    </fill>
    <fill>
      <patternFill patternType="solid">
        <fgColor theme="7" tint="0.3999"/>
        <bgColor rgb="FFBFBFBF"/>
      </patternFill>
    </fill>
    <fill>
      <patternFill patternType="solid">
        <fgColor theme="7" tint="0.7999"/>
        <bgColor rgb="FFDCE6F1"/>
      </patternFill>
    </fill>
    <fill>
      <patternFill patternType="solid">
        <fgColor rgb="FFFFEB9C"/>
        <bgColor rgb="FFFDEADA"/>
      </patternFill>
    </fill>
    <fill>
      <patternFill patternType="solid">
        <fgColor theme="0" tint="-0.25"/>
        <bgColor rgb="FFC3D69B"/>
      </patternFill>
    </fill>
    <fill>
      <patternFill patternType="solid">
        <fgColor theme="0" tint="-0.05"/>
        <bgColor rgb="FFEBF1DE"/>
      </patternFill>
    </fill>
    <fill>
      <patternFill patternType="solid">
        <fgColor rgb="FFDA9694"/>
        <bgColor rgb="FFB3A2C7"/>
      </patternFill>
    </fill>
    <fill>
      <patternFill patternType="solid">
        <fgColor rgb="FFF2DCDB"/>
        <bgColor rgb="FFE6E0EC"/>
      </patternFill>
    </fill>
    <fill>
      <patternFill patternType="solid">
        <fgColor rgb="FFFFCCCC"/>
        <bgColor rgb="FFFFC7CE"/>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6" fillId="2" borderId="0" xfId="0" applyFont="true" applyBorder="false" applyAlignment="true" applyProtection="false">
      <alignment horizontal="center" vertical="top" textRotation="0" wrapText="true" indent="0" shrinkToFit="false"/>
      <protection locked="true" hidden="false"/>
    </xf>
    <xf numFmtId="164" fontId="6" fillId="3" borderId="0" xfId="0" applyFont="true" applyBorder="false" applyAlignment="true" applyProtection="false">
      <alignment horizontal="center" vertical="top" textRotation="0" wrapText="true" indent="0" shrinkToFit="false"/>
      <protection locked="true" hidden="false"/>
    </xf>
    <xf numFmtId="164" fontId="7" fillId="4"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false" applyAlignment="true" applyProtection="false">
      <alignment horizontal="left" vertical="center" textRotation="0" wrapText="true" indent="0" shrinkToFit="false"/>
      <protection locked="true" hidden="false"/>
    </xf>
    <xf numFmtId="164" fontId="0" fillId="5" borderId="0" xfId="0" applyFont="false" applyBorder="false" applyAlignment="true" applyProtection="false">
      <alignment horizontal="left" vertical="center" textRotation="0" wrapText="tru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left" vertical="center" textRotation="0" wrapText="true" indent="0" shrinkToFit="false"/>
      <protection locked="true" hidden="false"/>
    </xf>
    <xf numFmtId="164" fontId="9" fillId="4" borderId="0" xfId="0" applyFont="true" applyBorder="false" applyAlignment="true" applyProtection="false">
      <alignment horizontal="left" vertical="center" textRotation="0" wrapText="true" indent="0" shrinkToFit="false"/>
      <protection locked="true" hidden="false"/>
    </xf>
    <xf numFmtId="164" fontId="10" fillId="4" borderId="0" xfId="0" applyFont="true" applyBorder="false" applyAlignment="true" applyProtection="false">
      <alignment horizontal="left" vertical="center" textRotation="0" wrapText="true" indent="0" shrinkToFit="false"/>
      <protection locked="true" hidden="false"/>
    </xf>
    <xf numFmtId="164" fontId="11" fillId="0" borderId="0" xfId="0" applyFont="true" applyBorder="false" applyAlignment="true" applyProtection="false">
      <alignment horizontal="left" vertical="center" textRotation="0" wrapText="true" indent="0" shrinkToFit="false"/>
      <protection locked="true" hidden="false"/>
    </xf>
    <xf numFmtId="164" fontId="12" fillId="6" borderId="0" xfId="0" applyFont="true" applyBorder="false" applyAlignment="true" applyProtection="false">
      <alignment horizontal="general" vertical="top" textRotation="0" wrapText="true" indent="0" shrinkToFit="false"/>
      <protection locked="true" hidden="false"/>
    </xf>
    <xf numFmtId="164" fontId="12" fillId="7" borderId="0" xfId="0" applyFont="true" applyBorder="false" applyAlignment="true" applyProtection="false">
      <alignment horizontal="general" vertical="top" textRotation="0" wrapText="true" indent="0" shrinkToFit="false"/>
      <protection locked="true" hidden="false"/>
    </xf>
    <xf numFmtId="164" fontId="8" fillId="8" borderId="0" xfId="0" applyFont="true" applyBorder="false" applyAlignment="true" applyProtection="false">
      <alignment horizontal="left" vertical="center" textRotation="0" wrapText="true" indent="0" shrinkToFit="false"/>
      <protection locked="true" hidden="false"/>
    </xf>
    <xf numFmtId="164" fontId="9" fillId="8" borderId="0" xfId="0" applyFont="true" applyBorder="false" applyAlignment="true" applyProtection="false">
      <alignment horizontal="left" vertical="center" textRotation="0" wrapText="true" indent="0" shrinkToFit="false"/>
      <protection locked="true" hidden="false"/>
    </xf>
    <xf numFmtId="164" fontId="13" fillId="8" borderId="0" xfId="0" applyFont="true" applyBorder="false" applyAlignment="true" applyProtection="false">
      <alignment horizontal="left" vertical="center" textRotation="0" wrapText="true" indent="0" shrinkToFit="false"/>
      <protection locked="true" hidden="false"/>
    </xf>
    <xf numFmtId="164" fontId="14" fillId="9" borderId="0" xfId="0" applyFont="true" applyBorder="true" applyAlignment="true" applyProtection="false">
      <alignment horizontal="center" vertical="center" textRotation="0" wrapText="true" indent="0" shrinkToFit="false"/>
      <protection locked="true" hidden="false"/>
    </xf>
    <xf numFmtId="164" fontId="8" fillId="9" borderId="0" xfId="0" applyFont="true" applyBorder="false" applyAlignment="true" applyProtection="false">
      <alignment horizontal="left" vertical="center" textRotation="0" wrapText="true" indent="0" shrinkToFit="false"/>
      <protection locked="true" hidden="false"/>
    </xf>
    <xf numFmtId="164" fontId="9" fillId="9" borderId="0" xfId="0" applyFont="true" applyBorder="false" applyAlignment="true" applyProtection="false">
      <alignment horizontal="left" vertical="center" textRotation="0" wrapText="true" indent="0" shrinkToFit="false"/>
      <protection locked="true" hidden="false"/>
    </xf>
    <xf numFmtId="164" fontId="10" fillId="9" borderId="0" xfId="0" applyFont="true" applyBorder="false" applyAlignment="true" applyProtection="false">
      <alignment horizontal="left" vertical="center" textRotation="0" wrapText="true" indent="0" shrinkToFit="false"/>
      <protection locked="true" hidden="false"/>
    </xf>
    <xf numFmtId="164" fontId="8" fillId="10" borderId="0" xfId="0" applyFont="true" applyBorder="false" applyAlignment="true" applyProtection="false">
      <alignment horizontal="left" vertical="center" textRotation="0" wrapText="true" indent="0" shrinkToFit="false"/>
      <protection locked="true" hidden="false"/>
    </xf>
    <xf numFmtId="164" fontId="9" fillId="10" borderId="0" xfId="0" applyFont="true" applyBorder="false" applyAlignment="true" applyProtection="false">
      <alignment horizontal="left" vertical="center" textRotation="0" wrapText="true" indent="0" shrinkToFit="false"/>
      <protection locked="true" hidden="false"/>
    </xf>
    <xf numFmtId="164" fontId="13" fillId="10" borderId="0" xfId="0" applyFont="true" applyBorder="false" applyAlignment="true" applyProtection="false">
      <alignment horizontal="left" vertical="center" textRotation="0" wrapText="true" indent="0" shrinkToFit="false"/>
      <protection locked="true" hidden="false"/>
    </xf>
    <xf numFmtId="164" fontId="12" fillId="11" borderId="0" xfId="0" applyFont="true" applyBorder="false" applyAlignment="true" applyProtection="false">
      <alignment horizontal="general" vertical="top" textRotation="0" wrapText="true" indent="0" shrinkToFit="false"/>
      <protection locked="true" hidden="false"/>
    </xf>
    <xf numFmtId="164" fontId="7" fillId="12" borderId="0" xfId="0" applyFont="true" applyBorder="true" applyAlignment="true" applyProtection="false">
      <alignment horizontal="center" vertical="center" textRotation="0" wrapText="true" indent="0" shrinkToFit="false"/>
      <protection locked="true" hidden="false"/>
    </xf>
    <xf numFmtId="164" fontId="8" fillId="12" borderId="0" xfId="0" applyFont="true" applyBorder="false" applyAlignment="true" applyProtection="false">
      <alignment horizontal="left" vertical="center" textRotation="0" wrapText="true" indent="0" shrinkToFit="false"/>
      <protection locked="true" hidden="false"/>
    </xf>
    <xf numFmtId="164" fontId="9" fillId="12" borderId="0" xfId="0" applyFont="true" applyBorder="false" applyAlignment="true" applyProtection="false">
      <alignment horizontal="left" vertical="center" textRotation="0" wrapText="true" indent="0" shrinkToFit="false"/>
      <protection locked="true" hidden="false"/>
    </xf>
    <xf numFmtId="164" fontId="10" fillId="12" borderId="0" xfId="0" applyFont="true" applyBorder="false" applyAlignment="true" applyProtection="false">
      <alignment horizontal="left" vertical="center" textRotation="0" wrapText="true" indent="0" shrinkToFit="false"/>
      <protection locked="true" hidden="false"/>
    </xf>
    <xf numFmtId="164" fontId="8" fillId="13" borderId="0" xfId="0" applyFont="true" applyBorder="false" applyAlignment="true" applyProtection="false">
      <alignment horizontal="left" vertical="center" textRotation="0" wrapText="true" indent="0" shrinkToFit="false"/>
      <protection locked="true" hidden="false"/>
    </xf>
    <xf numFmtId="164" fontId="9" fillId="13" borderId="0" xfId="0" applyFont="true" applyBorder="false" applyAlignment="true" applyProtection="false">
      <alignment horizontal="left" vertical="center" textRotation="0" wrapText="true" indent="0" shrinkToFit="false"/>
      <protection locked="true" hidden="false"/>
    </xf>
    <xf numFmtId="164" fontId="13" fillId="13" borderId="0" xfId="0" applyFont="true" applyBorder="false" applyAlignment="true" applyProtection="false">
      <alignment horizontal="left" vertical="center" textRotation="0" wrapText="true" indent="0" shrinkToFit="false"/>
      <protection locked="true" hidden="false"/>
    </xf>
    <xf numFmtId="164" fontId="7" fillId="14" borderId="0" xfId="0" applyFont="true" applyBorder="true" applyAlignment="true" applyProtection="false">
      <alignment horizontal="center" vertical="center" textRotation="0" wrapText="true" indent="0" shrinkToFit="false"/>
      <protection locked="true" hidden="false"/>
    </xf>
    <xf numFmtId="164" fontId="8" fillId="14" borderId="0" xfId="0" applyFont="true" applyBorder="false" applyAlignment="true" applyProtection="false">
      <alignment horizontal="left" vertical="center" textRotation="0" wrapText="true" indent="0" shrinkToFit="false"/>
      <protection locked="true" hidden="false"/>
    </xf>
    <xf numFmtId="164" fontId="9" fillId="14" borderId="0" xfId="0" applyFont="true" applyBorder="false" applyAlignment="true" applyProtection="false">
      <alignment horizontal="left" vertical="center" textRotation="0" wrapText="true" indent="0" shrinkToFit="false"/>
      <protection locked="true" hidden="false"/>
    </xf>
    <xf numFmtId="164" fontId="10" fillId="14" borderId="0" xfId="0" applyFont="true" applyBorder="false" applyAlignment="true" applyProtection="false">
      <alignment horizontal="left" vertical="center" textRotation="0" wrapText="true" indent="0" shrinkToFit="false"/>
      <protection locked="true" hidden="false"/>
    </xf>
    <xf numFmtId="164" fontId="8" fillId="15" borderId="0" xfId="0" applyFont="true" applyBorder="false" applyAlignment="true" applyProtection="false">
      <alignment horizontal="left" vertical="center" textRotation="0" wrapText="true" indent="0" shrinkToFit="false"/>
      <protection locked="true" hidden="false"/>
    </xf>
    <xf numFmtId="164" fontId="9" fillId="15" borderId="0" xfId="0" applyFont="true" applyBorder="false" applyAlignment="true" applyProtection="false">
      <alignment horizontal="left" vertical="center" textRotation="0" wrapText="true" indent="0" shrinkToFit="false"/>
      <protection locked="true" hidden="false"/>
    </xf>
    <xf numFmtId="164" fontId="13" fillId="15" borderId="0" xfId="0" applyFont="true" applyBorder="false" applyAlignment="true" applyProtection="false">
      <alignment horizontal="left" vertical="center" textRotation="0" wrapText="true" indent="0" shrinkToFit="false"/>
      <protection locked="true" hidden="false"/>
    </xf>
    <xf numFmtId="164" fontId="12" fillId="16" borderId="0" xfId="0" applyFont="true" applyBorder="false" applyAlignment="true" applyProtection="false">
      <alignment horizontal="general" vertical="top" textRotation="0" wrapText="true" indent="0" shrinkToFit="false"/>
      <protection locked="true" hidden="false"/>
    </xf>
    <xf numFmtId="164" fontId="7" fillId="17" borderId="0" xfId="0" applyFont="true" applyBorder="true" applyAlignment="true" applyProtection="false">
      <alignment horizontal="center" vertical="center" textRotation="0" wrapText="true" indent="0" shrinkToFit="false"/>
      <protection locked="true" hidden="false"/>
    </xf>
    <xf numFmtId="164" fontId="8" fillId="17" borderId="0" xfId="0" applyFont="true" applyBorder="false" applyAlignment="true" applyProtection="false">
      <alignment horizontal="left" vertical="center" textRotation="0" wrapText="true" indent="0" shrinkToFit="false"/>
      <protection locked="true" hidden="false"/>
    </xf>
    <xf numFmtId="164" fontId="9" fillId="17" borderId="0" xfId="0" applyFont="true" applyBorder="false" applyAlignment="true" applyProtection="false">
      <alignment horizontal="left" vertical="center" textRotation="0" wrapText="true" indent="0" shrinkToFit="false"/>
      <protection locked="true" hidden="false"/>
    </xf>
    <xf numFmtId="164" fontId="10" fillId="17" borderId="0" xfId="0" applyFont="true" applyBorder="false" applyAlignment="true" applyProtection="false">
      <alignment horizontal="left" vertical="center" textRotation="0" wrapText="true" indent="0" shrinkToFit="false"/>
      <protection locked="true" hidden="false"/>
    </xf>
    <xf numFmtId="164" fontId="8" fillId="18" borderId="0" xfId="0" applyFont="true" applyBorder="false" applyAlignment="true" applyProtection="false">
      <alignment horizontal="left" vertical="center" textRotation="0" wrapText="true" indent="0" shrinkToFit="false"/>
      <protection locked="true" hidden="false"/>
    </xf>
    <xf numFmtId="164" fontId="9" fillId="18" borderId="0" xfId="0" applyFont="true" applyBorder="false" applyAlignment="true" applyProtection="false">
      <alignment horizontal="left" vertical="center" textRotation="0" wrapText="true" indent="0" shrinkToFit="false"/>
      <protection locked="true" hidden="false"/>
    </xf>
    <xf numFmtId="164" fontId="13" fillId="18" borderId="0" xfId="0" applyFont="true" applyBorder="false" applyAlignment="true" applyProtection="false">
      <alignment horizontal="left" vertical="center" textRotation="0" wrapText="true" indent="0" shrinkToFit="false"/>
      <protection locked="true" hidden="false"/>
    </xf>
    <xf numFmtId="164" fontId="15" fillId="19" borderId="0" xfId="0" applyFont="true" applyBorder="true" applyAlignment="true" applyProtection="false">
      <alignment horizontal="center" vertical="center" textRotation="0" wrapText="true" indent="0" shrinkToFit="false"/>
      <protection locked="true" hidden="false"/>
    </xf>
    <xf numFmtId="164" fontId="8" fillId="19" borderId="0" xfId="0" applyFont="true" applyBorder="false" applyAlignment="true" applyProtection="false">
      <alignment horizontal="left" vertical="center" textRotation="0" wrapText="true" indent="0" shrinkToFit="false"/>
      <protection locked="true" hidden="false"/>
    </xf>
    <xf numFmtId="164" fontId="9" fillId="19" borderId="0" xfId="0" applyFont="true" applyBorder="false" applyAlignment="true" applyProtection="false">
      <alignment horizontal="left" vertical="center" textRotation="0" wrapText="true" indent="0" shrinkToFit="false"/>
      <protection locked="true" hidden="false"/>
    </xf>
    <xf numFmtId="164" fontId="10" fillId="19" borderId="0" xfId="0" applyFont="true" applyBorder="false" applyAlignment="true" applyProtection="false">
      <alignment horizontal="left" vertical="center" textRotation="0" wrapText="true" indent="0" shrinkToFit="false"/>
      <protection locked="true" hidden="false"/>
    </xf>
    <xf numFmtId="164" fontId="8" fillId="20" borderId="0" xfId="0" applyFont="true" applyBorder="false" applyAlignment="true" applyProtection="false">
      <alignment horizontal="left" vertical="center" textRotation="0" wrapText="true" indent="0" shrinkToFit="false"/>
      <protection locked="true" hidden="false"/>
    </xf>
    <xf numFmtId="164" fontId="9" fillId="20" borderId="0" xfId="0" applyFont="true" applyBorder="false" applyAlignment="true" applyProtection="false">
      <alignment horizontal="left" vertical="center" textRotation="0" wrapText="true" indent="0" shrinkToFit="false"/>
      <protection locked="true" hidden="false"/>
    </xf>
    <xf numFmtId="164" fontId="13" fillId="20" borderId="0" xfId="0" applyFont="true" applyBorder="false" applyAlignment="true" applyProtection="false">
      <alignment horizontal="left" vertical="center" textRotation="0" wrapText="true" indent="0" shrinkToFit="false"/>
      <protection locked="true" hidden="false"/>
    </xf>
    <xf numFmtId="164" fontId="16" fillId="20" borderId="0" xfId="0" applyFont="true" applyBorder="false" applyAlignment="true" applyProtection="false">
      <alignment horizontal="left" vertical="center" textRotation="0" wrapText="tru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7" borderId="0" xfId="0" applyFont="true" applyBorder="false" applyAlignment="true" applyProtection="false">
      <alignment horizontal="center" vertical="center" textRotation="0" wrapText="false" indent="0" shrinkToFit="false"/>
      <protection locked="true" hidden="false"/>
    </xf>
    <xf numFmtId="164" fontId="18" fillId="16" borderId="0" xfId="0" applyFont="true" applyBorder="false" applyAlignment="true" applyProtection="false">
      <alignment horizontal="center" vertical="center" textRotation="0" wrapText="false" indent="0" shrinkToFit="false"/>
      <protection locked="true" hidden="false"/>
    </xf>
    <xf numFmtId="164" fontId="18" fillId="6"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19" fillId="7"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center" vertical="center" textRotation="0" wrapText="false" indent="0" shrinkToFit="false"/>
      <protection locked="true" hidden="false"/>
    </xf>
    <xf numFmtId="164" fontId="21" fillId="16" borderId="0" xfId="0" applyFont="true" applyBorder="false" applyAlignment="true" applyProtection="false">
      <alignment horizontal="center" vertical="center" textRotation="0" wrapText="false" indent="0" shrinkToFit="false"/>
      <protection locked="true" hidden="false"/>
    </xf>
    <xf numFmtId="164" fontId="22" fillId="21" borderId="0" xfId="0" applyFont="true" applyBorder="false" applyAlignment="true" applyProtection="false">
      <alignment horizontal="center" vertical="center" textRotation="0" wrapText="false" indent="0" shrinkToFit="false"/>
      <protection locked="true" hidden="false"/>
    </xf>
    <xf numFmtId="164" fontId="23" fillId="11"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DEADA"/>
      <rgbColor rgb="FFFF00FF"/>
      <rgbColor rgb="FF00FFFF"/>
      <rgbColor rgb="FF9C0006"/>
      <rgbColor rgb="FF276221"/>
      <rgbColor rgb="FF000080"/>
      <rgbColor rgb="FF808000"/>
      <rgbColor rgb="FF800080"/>
      <rgbColor rgb="FF008080"/>
      <rgbColor rgb="FFBFBFBF"/>
      <rgbColor rgb="FF808080"/>
      <rgbColor rgb="FFE6E0EC"/>
      <rgbColor rgb="FF993366"/>
      <rgbColor rgb="FFEBF1DE"/>
      <rgbColor rgb="FFDCE6F1"/>
      <rgbColor rgb="FF660066"/>
      <rgbColor rgb="FFDA9694"/>
      <rgbColor rgb="FF2E75B6"/>
      <rgbColor rgb="FFD9D9D9"/>
      <rgbColor rgb="FF000080"/>
      <rgbColor rgb="FFFF00FF"/>
      <rgbColor rgb="FFF2DCDB"/>
      <rgbColor rgb="FF00FFFF"/>
      <rgbColor rgb="FF800080"/>
      <rgbColor rgb="FFC00000"/>
      <rgbColor rgb="FF008080"/>
      <rgbColor rgb="FF0000FF"/>
      <rgbColor rgb="FF00CCFF"/>
      <rgbColor rgb="FFF2F2F2"/>
      <rgbColor rgb="FFC6EFCE"/>
      <rgbColor rgb="FFFFEB9C"/>
      <rgbColor rgb="FF8DB4E2"/>
      <rgbColor rgb="FFFFC7CE"/>
      <rgbColor rgb="FFB3A2C7"/>
      <rgbColor rgb="FFFABF8F"/>
      <rgbColor rgb="FF4472C4"/>
      <rgbColor rgb="FF33CCCC"/>
      <rgbColor rgb="FF99CC00"/>
      <rgbColor rgb="FFFFCCCC"/>
      <rgbColor rgb="FFFF9900"/>
      <rgbColor rgb="FFFF6600"/>
      <rgbColor rgb="FF595959"/>
      <rgbColor rgb="FFC3D69B"/>
      <rgbColor rgb="FF003366"/>
      <rgbColor rgb="FF339966"/>
      <rgbColor rgb="FF003300"/>
      <rgbColor rgb="FF333300"/>
      <rgbColor rgb="FF7D4C00"/>
      <rgbColor rgb="FF993366"/>
      <rgbColor rgb="FF1F4E7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84"/>
  <sheetViews>
    <sheetView showFormulas="false" showGridLines="true" showRowColHeaders="true" showZeros="true" rightToLeft="false" tabSelected="true" showOutlineSymbols="true" defaultGridColor="true" view="normal" topLeftCell="A1" colorId="64" zoomScale="134" zoomScaleNormal="134" zoomScalePageLayoutView="100" workbookViewId="0">
      <pane xSplit="0" ySplit="1" topLeftCell="A2" activePane="bottomLeft" state="frozen"/>
      <selection pane="topLeft" activeCell="A1" activeCellId="0" sqref="A1"/>
      <selection pane="bottomLeft" activeCell="C74" activeCellId="0" sqref="C74"/>
    </sheetView>
  </sheetViews>
  <sheetFormatPr defaultColWidth="40.00390625" defaultRowHeight="15" zeroHeight="false" outlineLevelRow="0" outlineLevelCol="0"/>
  <cols>
    <col collapsed="false" customWidth="true" hidden="false" outlineLevel="0" max="1" min="1" style="1" width="30"/>
    <col collapsed="false" customWidth="true" hidden="false" outlineLevel="0" max="2" min="2" style="1" width="52"/>
    <col collapsed="false" customWidth="true" hidden="false" outlineLevel="0" max="3" min="3" style="1" width="14.52"/>
    <col collapsed="false" customWidth="true" hidden="false" outlineLevel="0" max="4" min="4" style="1" width="22"/>
    <col collapsed="false" customWidth="true" hidden="false" outlineLevel="0" max="5" min="5" style="1" width="49.33"/>
    <col collapsed="false" customWidth="true" hidden="false" outlineLevel="0" max="6" min="6" style="1" width="18"/>
    <col collapsed="false" customWidth="false" hidden="false" outlineLevel="0" max="16384" min="7" style="1" width="40"/>
  </cols>
  <sheetData>
    <row r="1" customFormat="false" ht="79.5" hidden="false" customHeight="true" outlineLevel="0" collapsed="false">
      <c r="A1" s="2" t="s">
        <v>0</v>
      </c>
      <c r="B1" s="2" t="s">
        <v>1</v>
      </c>
      <c r="C1" s="2" t="s">
        <v>2</v>
      </c>
      <c r="D1" s="2" t="s">
        <v>3</v>
      </c>
      <c r="E1" s="2" t="s">
        <v>4</v>
      </c>
      <c r="F1" s="3" t="s">
        <v>5</v>
      </c>
      <c r="G1" s="4" t="s">
        <v>6</v>
      </c>
      <c r="H1" s="4" t="s">
        <v>7</v>
      </c>
      <c r="I1" s="4" t="s">
        <v>8</v>
      </c>
      <c r="J1" s="4" t="s">
        <v>9</v>
      </c>
      <c r="K1" s="4" t="s">
        <v>10</v>
      </c>
      <c r="L1" s="5" t="s">
        <v>11</v>
      </c>
      <c r="M1" s="5" t="s">
        <v>12</v>
      </c>
      <c r="N1" s="5" t="s">
        <v>13</v>
      </c>
      <c r="O1" s="5" t="s">
        <v>14</v>
      </c>
      <c r="P1" s="5" t="s">
        <v>15</v>
      </c>
    </row>
    <row r="2" customFormat="false" ht="45" hidden="false" customHeight="true" outlineLevel="0" collapsed="false">
      <c r="A2" s="6" t="s">
        <v>16</v>
      </c>
      <c r="B2" s="6"/>
      <c r="C2" s="6"/>
      <c r="D2" s="6"/>
      <c r="E2" s="6"/>
      <c r="F2" s="7"/>
      <c r="G2" s="8"/>
      <c r="H2" s="9"/>
      <c r="I2" s="9"/>
      <c r="J2" s="9"/>
      <c r="K2" s="9"/>
    </row>
    <row r="3" customFormat="false" ht="45" hidden="false" customHeight="true" outlineLevel="0" collapsed="false">
      <c r="A3" s="10" t="s">
        <v>17</v>
      </c>
      <c r="B3" s="11" t="s">
        <v>18</v>
      </c>
      <c r="C3" s="12" t="s">
        <v>19</v>
      </c>
      <c r="D3" s="11" t="s">
        <v>20</v>
      </c>
      <c r="E3" s="11" t="s">
        <v>21</v>
      </c>
      <c r="F3" s="13"/>
      <c r="G3" s="14" t="s">
        <v>22</v>
      </c>
      <c r="H3" s="14" t="s">
        <v>22</v>
      </c>
      <c r="I3" s="14" t="s">
        <v>22</v>
      </c>
      <c r="J3" s="14" t="s">
        <v>22</v>
      </c>
      <c r="K3" s="14" t="s">
        <v>22</v>
      </c>
      <c r="L3" s="14" t="s">
        <v>22</v>
      </c>
      <c r="M3" s="14" t="s">
        <v>22</v>
      </c>
      <c r="N3" s="14" t="s">
        <v>22</v>
      </c>
      <c r="O3" s="14" t="s">
        <v>22</v>
      </c>
      <c r="P3" s="14" t="s">
        <v>22</v>
      </c>
    </row>
    <row r="4" customFormat="false" ht="45" hidden="false" customHeight="true" outlineLevel="0" collapsed="false">
      <c r="A4" s="10" t="s">
        <v>23</v>
      </c>
      <c r="B4" s="11" t="s">
        <v>24</v>
      </c>
      <c r="C4" s="12" t="s">
        <v>19</v>
      </c>
      <c r="D4" s="11" t="s">
        <v>25</v>
      </c>
      <c r="E4" s="11" t="s">
        <v>26</v>
      </c>
      <c r="F4" s="13"/>
      <c r="G4" s="15" t="s">
        <v>27</v>
      </c>
      <c r="H4" s="15" t="s">
        <v>27</v>
      </c>
      <c r="I4" s="15" t="s">
        <v>28</v>
      </c>
      <c r="J4" s="15" t="s">
        <v>27</v>
      </c>
      <c r="K4" s="15" t="s">
        <v>28</v>
      </c>
      <c r="L4" s="15" t="s">
        <v>29</v>
      </c>
      <c r="M4" s="15" t="s">
        <v>28</v>
      </c>
      <c r="N4" s="15" t="s">
        <v>27</v>
      </c>
      <c r="O4" s="15" t="s">
        <v>30</v>
      </c>
      <c r="P4" s="15" t="s">
        <v>31</v>
      </c>
    </row>
    <row r="5" customFormat="false" ht="45" hidden="false" customHeight="true" outlineLevel="0" collapsed="false">
      <c r="A5" s="10" t="s">
        <v>32</v>
      </c>
      <c r="B5" s="11" t="s">
        <v>33</v>
      </c>
      <c r="C5" s="12" t="s">
        <v>19</v>
      </c>
      <c r="D5" s="11" t="s">
        <v>20</v>
      </c>
      <c r="E5" s="11" t="s">
        <v>34</v>
      </c>
      <c r="F5" s="13"/>
      <c r="G5" s="14" t="s">
        <v>22</v>
      </c>
      <c r="H5" s="14" t="s">
        <v>22</v>
      </c>
      <c r="I5" s="14" t="s">
        <v>22</v>
      </c>
      <c r="J5" s="14" t="s">
        <v>22</v>
      </c>
      <c r="K5" s="14" t="s">
        <v>22</v>
      </c>
      <c r="L5" s="14" t="s">
        <v>22</v>
      </c>
      <c r="M5" s="14" t="s">
        <v>22</v>
      </c>
      <c r="N5" s="14" t="s">
        <v>22</v>
      </c>
      <c r="O5" s="14" t="s">
        <v>22</v>
      </c>
      <c r="P5" s="14" t="s">
        <v>22</v>
      </c>
    </row>
    <row r="6" customFormat="false" ht="45" hidden="false" customHeight="true" outlineLevel="0" collapsed="false">
      <c r="A6" s="10" t="s">
        <v>35</v>
      </c>
      <c r="B6" s="11" t="s">
        <v>36</v>
      </c>
      <c r="C6" s="12" t="s">
        <v>19</v>
      </c>
      <c r="D6" s="11" t="s">
        <v>20</v>
      </c>
      <c r="E6" s="11" t="s">
        <v>37</v>
      </c>
      <c r="F6" s="13"/>
      <c r="G6" s="15" t="s">
        <v>38</v>
      </c>
      <c r="H6" s="15" t="s">
        <v>39</v>
      </c>
      <c r="I6" s="15" t="s">
        <v>40</v>
      </c>
      <c r="J6" s="15" t="s">
        <v>41</v>
      </c>
      <c r="K6" s="15" t="s">
        <v>42</v>
      </c>
      <c r="L6" s="15" t="s">
        <v>39</v>
      </c>
      <c r="M6" s="15" t="s">
        <v>43</v>
      </c>
      <c r="N6" s="15" t="s">
        <v>44</v>
      </c>
      <c r="O6" s="15" t="s">
        <v>45</v>
      </c>
      <c r="P6" s="15" t="s">
        <v>46</v>
      </c>
    </row>
    <row r="7" customFormat="false" ht="45" hidden="false" customHeight="true" outlineLevel="0" collapsed="false">
      <c r="A7" s="16" t="s">
        <v>47</v>
      </c>
      <c r="B7" s="17" t="s">
        <v>48</v>
      </c>
      <c r="C7" s="18" t="s">
        <v>49</v>
      </c>
      <c r="D7" s="17" t="s">
        <v>50</v>
      </c>
      <c r="E7" s="17" t="s">
        <v>51</v>
      </c>
      <c r="F7" s="13"/>
      <c r="G7" s="14" t="s">
        <v>22</v>
      </c>
      <c r="H7" s="14" t="s">
        <v>22</v>
      </c>
      <c r="I7" s="14" t="s">
        <v>22</v>
      </c>
      <c r="J7" s="14" t="s">
        <v>22</v>
      </c>
      <c r="K7" s="14" t="s">
        <v>22</v>
      </c>
      <c r="L7" s="14" t="s">
        <v>22</v>
      </c>
      <c r="M7" s="14" t="s">
        <v>22</v>
      </c>
      <c r="N7" s="14" t="s">
        <v>22</v>
      </c>
      <c r="O7" s="14" t="s">
        <v>22</v>
      </c>
      <c r="P7" s="14" t="s">
        <v>22</v>
      </c>
    </row>
    <row r="8" customFormat="false" ht="45" hidden="false" customHeight="true" outlineLevel="0" collapsed="false">
      <c r="A8" s="10" t="s">
        <v>52</v>
      </c>
      <c r="B8" s="11" t="s">
        <v>53</v>
      </c>
      <c r="C8" s="12" t="s">
        <v>19</v>
      </c>
      <c r="D8" s="11" t="s">
        <v>54</v>
      </c>
      <c r="E8" s="11" t="s">
        <v>55</v>
      </c>
      <c r="F8" s="13"/>
      <c r="G8" s="14" t="s">
        <v>22</v>
      </c>
      <c r="H8" s="14" t="s">
        <v>22</v>
      </c>
      <c r="I8" s="14" t="s">
        <v>22</v>
      </c>
      <c r="J8" s="14" t="s">
        <v>22</v>
      </c>
      <c r="K8" s="14" t="s">
        <v>22</v>
      </c>
      <c r="L8" s="14" t="s">
        <v>22</v>
      </c>
      <c r="M8" s="14" t="s">
        <v>22</v>
      </c>
      <c r="N8" s="14" t="s">
        <v>22</v>
      </c>
      <c r="O8" s="14" t="s">
        <v>22</v>
      </c>
      <c r="P8" s="14" t="s">
        <v>22</v>
      </c>
    </row>
    <row r="9" customFormat="false" ht="45" hidden="false" customHeight="true" outlineLevel="0" collapsed="false">
      <c r="A9" s="16" t="s">
        <v>56</v>
      </c>
      <c r="B9" s="17" t="s">
        <v>57</v>
      </c>
      <c r="C9" s="18" t="s">
        <v>49</v>
      </c>
      <c r="D9" s="17" t="s">
        <v>58</v>
      </c>
      <c r="E9" s="17" t="s">
        <v>59</v>
      </c>
      <c r="F9" s="13"/>
      <c r="G9" s="14" t="s">
        <v>22</v>
      </c>
      <c r="H9" s="14" t="s">
        <v>22</v>
      </c>
      <c r="I9" s="14" t="s">
        <v>22</v>
      </c>
      <c r="J9" s="14" t="s">
        <v>22</v>
      </c>
      <c r="K9" s="14" t="s">
        <v>22</v>
      </c>
      <c r="L9" s="14" t="s">
        <v>22</v>
      </c>
      <c r="M9" s="14" t="s">
        <v>22</v>
      </c>
      <c r="N9" s="14" t="s">
        <v>22</v>
      </c>
      <c r="O9" s="14" t="s">
        <v>22</v>
      </c>
      <c r="P9" s="14" t="s">
        <v>22</v>
      </c>
    </row>
    <row r="10" customFormat="false" ht="45" hidden="false" customHeight="true" outlineLevel="0" collapsed="false">
      <c r="A10" s="16" t="s">
        <v>60</v>
      </c>
      <c r="B10" s="17" t="s">
        <v>61</v>
      </c>
      <c r="C10" s="18" t="s">
        <v>49</v>
      </c>
      <c r="D10" s="17" t="s">
        <v>20</v>
      </c>
      <c r="E10" s="17" t="s">
        <v>62</v>
      </c>
      <c r="F10" s="13"/>
      <c r="G10" s="15" t="s">
        <v>63</v>
      </c>
      <c r="H10" s="14" t="s">
        <v>22</v>
      </c>
      <c r="I10" s="15" t="s">
        <v>64</v>
      </c>
      <c r="J10" s="14" t="s">
        <v>22</v>
      </c>
      <c r="K10" s="15" t="s">
        <v>65</v>
      </c>
      <c r="L10" s="15" t="s">
        <v>66</v>
      </c>
      <c r="M10" s="15" t="s">
        <v>67</v>
      </c>
      <c r="N10" s="15" t="s">
        <v>68</v>
      </c>
      <c r="O10" s="14" t="s">
        <v>22</v>
      </c>
      <c r="P10" s="15" t="s">
        <v>69</v>
      </c>
    </row>
    <row r="11" customFormat="false" ht="45" hidden="false" customHeight="true" outlineLevel="0" collapsed="false">
      <c r="A11" s="16" t="s">
        <v>70</v>
      </c>
      <c r="B11" s="17" t="s">
        <v>71</v>
      </c>
      <c r="C11" s="18" t="s">
        <v>49</v>
      </c>
      <c r="D11" s="17" t="s">
        <v>58</v>
      </c>
      <c r="E11" s="17" t="s">
        <v>72</v>
      </c>
      <c r="F11" s="13"/>
      <c r="G11" s="15" t="s">
        <v>73</v>
      </c>
      <c r="H11" s="15" t="s">
        <v>74</v>
      </c>
      <c r="I11" s="14" t="s">
        <v>22</v>
      </c>
      <c r="J11" s="14" t="s">
        <v>22</v>
      </c>
      <c r="K11" s="14" t="s">
        <v>22</v>
      </c>
      <c r="L11" s="15" t="s">
        <v>75</v>
      </c>
      <c r="M11" s="14" t="s">
        <v>22</v>
      </c>
      <c r="N11" s="14" t="s">
        <v>22</v>
      </c>
      <c r="O11" s="14" t="s">
        <v>22</v>
      </c>
      <c r="P11" s="15" t="s">
        <v>76</v>
      </c>
    </row>
    <row r="12" customFormat="false" ht="12" hidden="false" customHeight="true" outlineLevel="0" collapsed="false"/>
    <row r="13" customFormat="false" ht="45" hidden="false" customHeight="true" outlineLevel="0" collapsed="false">
      <c r="A13" s="19" t="s">
        <v>77</v>
      </c>
      <c r="B13" s="19"/>
      <c r="C13" s="19"/>
      <c r="D13" s="19"/>
      <c r="E13" s="19"/>
      <c r="F13" s="7"/>
      <c r="G13" s="8"/>
      <c r="H13" s="9"/>
      <c r="I13" s="9"/>
      <c r="J13" s="9"/>
      <c r="K13" s="9"/>
    </row>
    <row r="14" customFormat="false" ht="45" hidden="false" customHeight="true" outlineLevel="0" collapsed="false">
      <c r="A14" s="20" t="s">
        <v>78</v>
      </c>
      <c r="B14" s="21" t="s">
        <v>79</v>
      </c>
      <c r="C14" s="22" t="s">
        <v>19</v>
      </c>
      <c r="D14" s="21" t="s">
        <v>80</v>
      </c>
      <c r="E14" s="21" t="s">
        <v>81</v>
      </c>
      <c r="F14" s="13"/>
      <c r="G14" s="15" t="s">
        <v>82</v>
      </c>
      <c r="H14" s="15" t="s">
        <v>83</v>
      </c>
      <c r="I14" s="15" t="s">
        <v>84</v>
      </c>
      <c r="J14" s="15" t="s">
        <v>85</v>
      </c>
      <c r="K14" s="15" t="s">
        <v>86</v>
      </c>
      <c r="L14" s="15" t="s">
        <v>87</v>
      </c>
      <c r="M14" s="15" t="s">
        <v>88</v>
      </c>
      <c r="N14" s="15" t="s">
        <v>89</v>
      </c>
      <c r="O14" s="15" t="s">
        <v>90</v>
      </c>
      <c r="P14" s="15" t="s">
        <v>91</v>
      </c>
    </row>
    <row r="15" customFormat="false" ht="45" hidden="false" customHeight="true" outlineLevel="0" collapsed="false">
      <c r="A15" s="20" t="s">
        <v>92</v>
      </c>
      <c r="B15" s="21" t="s">
        <v>93</v>
      </c>
      <c r="C15" s="22" t="s">
        <v>19</v>
      </c>
      <c r="D15" s="21" t="s">
        <v>25</v>
      </c>
      <c r="E15" s="21" t="s">
        <v>94</v>
      </c>
      <c r="F15" s="13"/>
      <c r="G15" s="15" t="s">
        <v>95</v>
      </c>
      <c r="H15" s="15" t="s">
        <v>96</v>
      </c>
      <c r="I15" s="15" t="s">
        <v>97</v>
      </c>
      <c r="J15" s="15" t="s">
        <v>98</v>
      </c>
      <c r="K15" s="15" t="s">
        <v>99</v>
      </c>
      <c r="L15" s="15" t="s">
        <v>100</v>
      </c>
      <c r="M15" s="15" t="s">
        <v>101</v>
      </c>
      <c r="N15" s="15" t="s">
        <v>102</v>
      </c>
      <c r="O15" s="15" t="s">
        <v>103</v>
      </c>
      <c r="P15" s="15" t="s">
        <v>104</v>
      </c>
    </row>
    <row r="16" customFormat="false" ht="45" hidden="false" customHeight="true" outlineLevel="0" collapsed="false">
      <c r="A16" s="23" t="s">
        <v>105</v>
      </c>
      <c r="B16" s="24" t="s">
        <v>106</v>
      </c>
      <c r="C16" s="25" t="s">
        <v>49</v>
      </c>
      <c r="D16" s="24" t="s">
        <v>20</v>
      </c>
      <c r="E16" s="24" t="s">
        <v>107</v>
      </c>
      <c r="F16" s="13"/>
      <c r="G16" s="26" t="s">
        <v>108</v>
      </c>
      <c r="H16" s="26" t="s">
        <v>108</v>
      </c>
      <c r="I16" s="26" t="s">
        <v>108</v>
      </c>
      <c r="J16" s="26" t="s">
        <v>108</v>
      </c>
      <c r="K16" s="26" t="s">
        <v>108</v>
      </c>
      <c r="L16" s="26" t="s">
        <v>108</v>
      </c>
      <c r="M16" s="15" t="s">
        <v>109</v>
      </c>
      <c r="N16" s="26" t="s">
        <v>108</v>
      </c>
      <c r="O16" s="26" t="s">
        <v>108</v>
      </c>
      <c r="P16" s="26" t="s">
        <v>108</v>
      </c>
    </row>
    <row r="17" customFormat="false" ht="45" hidden="false" customHeight="true" outlineLevel="0" collapsed="false">
      <c r="A17" s="23" t="s">
        <v>110</v>
      </c>
      <c r="B17" s="24" t="s">
        <v>111</v>
      </c>
      <c r="C17" s="25" t="s">
        <v>49</v>
      </c>
      <c r="D17" s="24" t="s">
        <v>20</v>
      </c>
      <c r="E17" s="24" t="s">
        <v>112</v>
      </c>
      <c r="F17" s="13"/>
      <c r="G17" s="15" t="s">
        <v>113</v>
      </c>
      <c r="H17" s="15" t="s">
        <v>114</v>
      </c>
      <c r="I17" s="15" t="s">
        <v>115</v>
      </c>
      <c r="J17" s="15" t="s">
        <v>116</v>
      </c>
      <c r="K17" s="15" t="s">
        <v>117</v>
      </c>
      <c r="L17" s="15" t="s">
        <v>118</v>
      </c>
      <c r="M17" s="15" t="s">
        <v>119</v>
      </c>
      <c r="N17" s="15" t="s">
        <v>120</v>
      </c>
      <c r="O17" s="15" t="s">
        <v>121</v>
      </c>
      <c r="P17" s="15" t="s">
        <v>122</v>
      </c>
    </row>
    <row r="18" customFormat="false" ht="45" hidden="false" customHeight="true" outlineLevel="0" collapsed="false">
      <c r="A18" s="23" t="s">
        <v>123</v>
      </c>
      <c r="B18" s="24" t="s">
        <v>124</v>
      </c>
      <c r="C18" s="25" t="s">
        <v>49</v>
      </c>
      <c r="D18" s="24" t="s">
        <v>20</v>
      </c>
      <c r="E18" s="24" t="s">
        <v>125</v>
      </c>
      <c r="F18" s="13"/>
      <c r="G18" s="14" t="s">
        <v>22</v>
      </c>
      <c r="H18" s="15" t="s">
        <v>126</v>
      </c>
      <c r="I18" s="14" t="s">
        <v>22</v>
      </c>
      <c r="J18" s="15" t="s">
        <v>127</v>
      </c>
      <c r="K18" s="14" t="s">
        <v>22</v>
      </c>
      <c r="L18" s="14" t="s">
        <v>22</v>
      </c>
      <c r="M18" s="14" t="s">
        <v>22</v>
      </c>
      <c r="N18" s="14" t="s">
        <v>22</v>
      </c>
      <c r="O18" s="14" t="s">
        <v>22</v>
      </c>
      <c r="P18" s="14" t="s">
        <v>22</v>
      </c>
    </row>
    <row r="19" customFormat="false" ht="12" hidden="false" customHeight="true" outlineLevel="0" collapsed="false"/>
    <row r="20" customFormat="false" ht="45" hidden="false" customHeight="true" outlineLevel="0" collapsed="false">
      <c r="A20" s="27" t="s">
        <v>128</v>
      </c>
      <c r="B20" s="27"/>
      <c r="C20" s="27"/>
      <c r="D20" s="27"/>
      <c r="E20" s="27"/>
      <c r="F20" s="7"/>
      <c r="G20" s="8"/>
      <c r="H20" s="9"/>
      <c r="I20" s="9"/>
      <c r="J20" s="9"/>
      <c r="K20" s="9"/>
    </row>
    <row r="21" customFormat="false" ht="45" hidden="false" customHeight="true" outlineLevel="0" collapsed="false">
      <c r="A21" s="28" t="s">
        <v>129</v>
      </c>
      <c r="B21" s="29" t="s">
        <v>130</v>
      </c>
      <c r="C21" s="30" t="s">
        <v>19</v>
      </c>
      <c r="D21" s="29" t="s">
        <v>20</v>
      </c>
      <c r="E21" s="29" t="s">
        <v>131</v>
      </c>
      <c r="F21" s="13"/>
      <c r="G21" s="15" t="s">
        <v>132</v>
      </c>
      <c r="H21" s="15" t="s">
        <v>133</v>
      </c>
      <c r="I21" s="15" t="s">
        <v>134</v>
      </c>
      <c r="J21" s="15" t="s">
        <v>135</v>
      </c>
      <c r="K21" s="15" t="s">
        <v>136</v>
      </c>
      <c r="L21" s="15" t="s">
        <v>137</v>
      </c>
      <c r="M21" s="15" t="s">
        <v>138</v>
      </c>
      <c r="N21" s="15" t="s">
        <v>139</v>
      </c>
      <c r="O21" s="15" t="s">
        <v>140</v>
      </c>
      <c r="P21" s="15" t="s">
        <v>141</v>
      </c>
    </row>
    <row r="22" customFormat="false" ht="45" hidden="false" customHeight="true" outlineLevel="0" collapsed="false">
      <c r="A22" s="28" t="s">
        <v>142</v>
      </c>
      <c r="B22" s="29" t="s">
        <v>143</v>
      </c>
      <c r="C22" s="30" t="s">
        <v>19</v>
      </c>
      <c r="D22" s="29" t="s">
        <v>20</v>
      </c>
      <c r="E22" s="29" t="s">
        <v>144</v>
      </c>
      <c r="F22" s="13"/>
      <c r="G22" s="15" t="s">
        <v>145</v>
      </c>
      <c r="H22" s="15" t="s">
        <v>145</v>
      </c>
      <c r="I22" s="15" t="s">
        <v>146</v>
      </c>
      <c r="J22" s="15" t="s">
        <v>145</v>
      </c>
      <c r="K22" s="15" t="s">
        <v>147</v>
      </c>
      <c r="L22" s="15" t="s">
        <v>148</v>
      </c>
      <c r="M22" s="15" t="s">
        <v>149</v>
      </c>
      <c r="N22" s="15" t="s">
        <v>150</v>
      </c>
      <c r="O22" s="15" t="s">
        <v>151</v>
      </c>
      <c r="P22" s="15" t="s">
        <v>152</v>
      </c>
    </row>
    <row r="23" customFormat="false" ht="45" hidden="false" customHeight="true" outlineLevel="0" collapsed="false">
      <c r="A23" s="28" t="s">
        <v>153</v>
      </c>
      <c r="B23" s="29" t="s">
        <v>154</v>
      </c>
      <c r="C23" s="30" t="s">
        <v>19</v>
      </c>
      <c r="D23" s="29" t="s">
        <v>25</v>
      </c>
      <c r="E23" s="29" t="s">
        <v>155</v>
      </c>
      <c r="F23" s="13"/>
      <c r="G23" s="15" t="s">
        <v>156</v>
      </c>
      <c r="H23" s="15" t="s">
        <v>156</v>
      </c>
      <c r="I23" s="15" t="s">
        <v>157</v>
      </c>
      <c r="J23" s="15" t="s">
        <v>156</v>
      </c>
      <c r="K23" s="15" t="s">
        <v>158</v>
      </c>
      <c r="L23" s="15" t="s">
        <v>159</v>
      </c>
      <c r="M23" s="15" t="s">
        <v>158</v>
      </c>
      <c r="N23" s="15" t="s">
        <v>158</v>
      </c>
      <c r="O23" s="15" t="s">
        <v>160</v>
      </c>
      <c r="P23" s="15" t="s">
        <v>161</v>
      </c>
    </row>
    <row r="24" customFormat="false" ht="45" hidden="false" customHeight="true" outlineLevel="0" collapsed="false">
      <c r="A24" s="28" t="s">
        <v>162</v>
      </c>
      <c r="B24" s="29" t="s">
        <v>163</v>
      </c>
      <c r="C24" s="30" t="s">
        <v>19</v>
      </c>
      <c r="D24" s="29" t="s">
        <v>80</v>
      </c>
      <c r="E24" s="29" t="s">
        <v>164</v>
      </c>
      <c r="F24" s="13"/>
      <c r="G24" s="14" t="s">
        <v>22</v>
      </c>
      <c r="H24" s="15" t="s">
        <v>165</v>
      </c>
      <c r="I24" s="14" t="s">
        <v>22</v>
      </c>
      <c r="J24" s="14" t="s">
        <v>22</v>
      </c>
      <c r="K24" s="15" t="s">
        <v>166</v>
      </c>
      <c r="L24" s="14" t="s">
        <v>22</v>
      </c>
      <c r="M24" s="14" t="s">
        <v>22</v>
      </c>
      <c r="N24" s="14" t="s">
        <v>22</v>
      </c>
      <c r="O24" s="15" t="s">
        <v>167</v>
      </c>
      <c r="P24" s="15" t="s">
        <v>168</v>
      </c>
    </row>
    <row r="25" customFormat="false" ht="45" hidden="false" customHeight="true" outlineLevel="0" collapsed="false">
      <c r="A25" s="28" t="s">
        <v>169</v>
      </c>
      <c r="B25" s="29" t="s">
        <v>170</v>
      </c>
      <c r="C25" s="30" t="s">
        <v>19</v>
      </c>
      <c r="D25" s="29" t="s">
        <v>25</v>
      </c>
      <c r="E25" s="29" t="s">
        <v>171</v>
      </c>
      <c r="F25" s="13"/>
      <c r="G25" s="14" t="s">
        <v>22</v>
      </c>
      <c r="H25" s="14" t="s">
        <v>22</v>
      </c>
      <c r="I25" s="14" t="s">
        <v>22</v>
      </c>
      <c r="J25" s="14" t="s">
        <v>22</v>
      </c>
      <c r="K25" s="14" t="s">
        <v>22</v>
      </c>
      <c r="L25" s="14" t="s">
        <v>22</v>
      </c>
      <c r="M25" s="14" t="s">
        <v>22</v>
      </c>
      <c r="N25" s="14" t="s">
        <v>22</v>
      </c>
      <c r="O25" s="15" t="s">
        <v>172</v>
      </c>
      <c r="P25" s="14" t="s">
        <v>22</v>
      </c>
    </row>
    <row r="26" customFormat="false" ht="45" hidden="false" customHeight="true" outlineLevel="0" collapsed="false">
      <c r="A26" s="28" t="s">
        <v>173</v>
      </c>
      <c r="B26" s="29" t="s">
        <v>174</v>
      </c>
      <c r="C26" s="30" t="s">
        <v>19</v>
      </c>
      <c r="D26" s="29" t="s">
        <v>175</v>
      </c>
      <c r="E26" s="29" t="s">
        <v>176</v>
      </c>
      <c r="F26" s="13"/>
      <c r="G26" s="15" t="s">
        <v>177</v>
      </c>
      <c r="H26" s="15" t="s">
        <v>178</v>
      </c>
      <c r="I26" s="14" t="s">
        <v>22</v>
      </c>
      <c r="J26" s="15" t="s">
        <v>179</v>
      </c>
      <c r="K26" s="14" t="s">
        <v>22</v>
      </c>
      <c r="L26" s="15" t="s">
        <v>180</v>
      </c>
      <c r="M26" s="14" t="s">
        <v>22</v>
      </c>
      <c r="N26" s="14" t="s">
        <v>22</v>
      </c>
      <c r="O26" s="15" t="s">
        <v>181</v>
      </c>
      <c r="P26" s="15" t="s">
        <v>182</v>
      </c>
    </row>
    <row r="27" customFormat="false" ht="45" hidden="false" customHeight="true" outlineLevel="0" collapsed="false">
      <c r="A27" s="28" t="s">
        <v>183</v>
      </c>
      <c r="B27" s="29" t="s">
        <v>184</v>
      </c>
      <c r="C27" s="30" t="s">
        <v>19</v>
      </c>
      <c r="D27" s="29" t="s">
        <v>20</v>
      </c>
      <c r="E27" s="29" t="s">
        <v>185</v>
      </c>
      <c r="F27" s="13"/>
      <c r="G27" s="15" t="s">
        <v>186</v>
      </c>
      <c r="H27" s="15" t="s">
        <v>186</v>
      </c>
      <c r="I27" s="15" t="s">
        <v>187</v>
      </c>
      <c r="J27" s="14" t="s">
        <v>22</v>
      </c>
      <c r="K27" s="14" t="s">
        <v>22</v>
      </c>
      <c r="L27" s="15" t="s">
        <v>188</v>
      </c>
      <c r="M27" s="15" t="s">
        <v>189</v>
      </c>
      <c r="N27" s="14" t="s">
        <v>22</v>
      </c>
      <c r="O27" s="15" t="s">
        <v>190</v>
      </c>
      <c r="P27" s="15" t="s">
        <v>191</v>
      </c>
    </row>
    <row r="28" customFormat="false" ht="45" hidden="false" customHeight="true" outlineLevel="0" collapsed="false">
      <c r="A28" s="28" t="s">
        <v>192</v>
      </c>
      <c r="B28" s="29" t="s">
        <v>193</v>
      </c>
      <c r="C28" s="30" t="s">
        <v>19</v>
      </c>
      <c r="D28" s="29" t="s">
        <v>194</v>
      </c>
      <c r="E28" s="29" t="s">
        <v>195</v>
      </c>
      <c r="F28" s="13"/>
      <c r="G28" s="15" t="s">
        <v>196</v>
      </c>
      <c r="H28" s="15" t="s">
        <v>196</v>
      </c>
      <c r="I28" s="15" t="s">
        <v>197</v>
      </c>
      <c r="J28" s="15" t="s">
        <v>196</v>
      </c>
      <c r="K28" s="15" t="s">
        <v>197</v>
      </c>
      <c r="L28" s="15" t="s">
        <v>196</v>
      </c>
      <c r="M28" s="15" t="s">
        <v>198</v>
      </c>
      <c r="N28" s="15" t="s">
        <v>199</v>
      </c>
      <c r="O28" s="15" t="s">
        <v>196</v>
      </c>
      <c r="P28" s="15" t="s">
        <v>200</v>
      </c>
    </row>
    <row r="29" customFormat="false" ht="45" hidden="false" customHeight="true" outlineLevel="0" collapsed="false">
      <c r="A29" s="28" t="s">
        <v>201</v>
      </c>
      <c r="B29" s="29" t="s">
        <v>202</v>
      </c>
      <c r="C29" s="30" t="s">
        <v>19</v>
      </c>
      <c r="D29" s="29" t="s">
        <v>20</v>
      </c>
      <c r="E29" s="29" t="s">
        <v>203</v>
      </c>
      <c r="F29" s="13"/>
      <c r="G29" s="14" t="s">
        <v>22</v>
      </c>
      <c r="H29" s="14" t="s">
        <v>22</v>
      </c>
      <c r="I29" s="14" t="s">
        <v>22</v>
      </c>
      <c r="J29" s="14" t="s">
        <v>22</v>
      </c>
      <c r="K29" s="14" t="s">
        <v>22</v>
      </c>
      <c r="L29" s="15" t="s">
        <v>204</v>
      </c>
      <c r="M29" s="14" t="s">
        <v>22</v>
      </c>
      <c r="N29" s="14" t="s">
        <v>22</v>
      </c>
      <c r="O29" s="14" t="s">
        <v>22</v>
      </c>
      <c r="P29" s="14" t="s">
        <v>22</v>
      </c>
    </row>
    <row r="30" customFormat="false" ht="45" hidden="false" customHeight="true" outlineLevel="0" collapsed="false">
      <c r="A30" s="28" t="s">
        <v>205</v>
      </c>
      <c r="B30" s="29" t="s">
        <v>206</v>
      </c>
      <c r="C30" s="30" t="s">
        <v>19</v>
      </c>
      <c r="D30" s="29" t="s">
        <v>20</v>
      </c>
      <c r="E30" s="29" t="s">
        <v>207</v>
      </c>
      <c r="F30" s="13"/>
      <c r="G30" s="14" t="s">
        <v>22</v>
      </c>
      <c r="H30" s="15" t="s">
        <v>208</v>
      </c>
      <c r="I30" s="15" t="s">
        <v>209</v>
      </c>
      <c r="J30" s="15" t="s">
        <v>210</v>
      </c>
      <c r="K30" s="14" t="s">
        <v>22</v>
      </c>
      <c r="L30" s="15" t="s">
        <v>211</v>
      </c>
      <c r="M30" s="15" t="s">
        <v>212</v>
      </c>
      <c r="N30" s="14" t="s">
        <v>22</v>
      </c>
      <c r="O30" s="15" t="s">
        <v>213</v>
      </c>
      <c r="P30" s="15" t="s">
        <v>214</v>
      </c>
    </row>
    <row r="31" customFormat="false" ht="45" hidden="false" customHeight="true" outlineLevel="0" collapsed="false">
      <c r="A31" s="31" t="s">
        <v>215</v>
      </c>
      <c r="B31" s="32" t="s">
        <v>216</v>
      </c>
      <c r="C31" s="33" t="s">
        <v>49</v>
      </c>
      <c r="D31" s="32" t="s">
        <v>20</v>
      </c>
      <c r="E31" s="32" t="s">
        <v>217</v>
      </c>
      <c r="F31" s="13"/>
      <c r="G31" s="14" t="s">
        <v>22</v>
      </c>
      <c r="H31" s="15" t="s">
        <v>218</v>
      </c>
      <c r="I31" s="14" t="s">
        <v>22</v>
      </c>
      <c r="J31" s="14" t="s">
        <v>22</v>
      </c>
      <c r="K31" s="14" t="s">
        <v>22</v>
      </c>
      <c r="L31" s="15" t="s">
        <v>219</v>
      </c>
      <c r="M31" s="14" t="s">
        <v>22</v>
      </c>
      <c r="N31" s="14" t="s">
        <v>22</v>
      </c>
      <c r="O31" s="15" t="s">
        <v>220</v>
      </c>
      <c r="P31" s="15" t="s">
        <v>221</v>
      </c>
    </row>
    <row r="32" customFormat="false" ht="12" hidden="false" customHeight="true" outlineLevel="0" collapsed="false"/>
    <row r="33" customFormat="false" ht="45" hidden="false" customHeight="true" outlineLevel="0" collapsed="false">
      <c r="A33" s="34" t="s">
        <v>222</v>
      </c>
      <c r="B33" s="34"/>
      <c r="C33" s="34"/>
      <c r="D33" s="34"/>
      <c r="E33" s="34"/>
      <c r="F33" s="7"/>
      <c r="G33" s="8"/>
      <c r="H33" s="9"/>
      <c r="I33" s="9"/>
      <c r="J33" s="9"/>
      <c r="K33" s="9"/>
    </row>
    <row r="34" customFormat="false" ht="45" hidden="false" customHeight="true" outlineLevel="0" collapsed="false">
      <c r="A34" s="35" t="s">
        <v>223</v>
      </c>
      <c r="B34" s="36" t="s">
        <v>224</v>
      </c>
      <c r="C34" s="37" t="s">
        <v>19</v>
      </c>
      <c r="D34" s="36" t="s">
        <v>225</v>
      </c>
      <c r="E34" s="36" t="s">
        <v>226</v>
      </c>
      <c r="F34" s="13"/>
      <c r="G34" s="15" t="s">
        <v>227</v>
      </c>
      <c r="H34" s="15" t="s">
        <v>228</v>
      </c>
      <c r="I34" s="15" t="s">
        <v>229</v>
      </c>
      <c r="J34" s="15" t="s">
        <v>230</v>
      </c>
      <c r="K34" s="15" t="s">
        <v>231</v>
      </c>
      <c r="L34" s="15" t="s">
        <v>232</v>
      </c>
      <c r="M34" s="15" t="s">
        <v>233</v>
      </c>
      <c r="N34" s="15" t="s">
        <v>234</v>
      </c>
      <c r="O34" s="15" t="s">
        <v>235</v>
      </c>
      <c r="P34" s="15" t="s">
        <v>236</v>
      </c>
    </row>
    <row r="35" customFormat="false" ht="45" hidden="false" customHeight="true" outlineLevel="0" collapsed="false">
      <c r="A35" s="35" t="s">
        <v>237</v>
      </c>
      <c r="B35" s="36" t="s">
        <v>238</v>
      </c>
      <c r="C35" s="37" t="s">
        <v>19</v>
      </c>
      <c r="D35" s="36" t="s">
        <v>25</v>
      </c>
      <c r="E35" s="36" t="s">
        <v>239</v>
      </c>
      <c r="F35" s="13"/>
      <c r="G35" s="15" t="s">
        <v>240</v>
      </c>
      <c r="H35" s="15" t="s">
        <v>241</v>
      </c>
      <c r="I35" s="15" t="s">
        <v>242</v>
      </c>
      <c r="J35" s="15" t="s">
        <v>243</v>
      </c>
      <c r="K35" s="15" t="s">
        <v>243</v>
      </c>
      <c r="L35" s="15" t="s">
        <v>244</v>
      </c>
      <c r="M35" s="15" t="s">
        <v>245</v>
      </c>
      <c r="N35" s="15" t="s">
        <v>246</v>
      </c>
      <c r="O35" s="15" t="s">
        <v>247</v>
      </c>
      <c r="P35" s="15" t="s">
        <v>248</v>
      </c>
    </row>
    <row r="36" customFormat="false" ht="45" hidden="false" customHeight="true" outlineLevel="0" collapsed="false">
      <c r="A36" s="35" t="s">
        <v>249</v>
      </c>
      <c r="B36" s="36" t="s">
        <v>250</v>
      </c>
      <c r="C36" s="37" t="s">
        <v>19</v>
      </c>
      <c r="D36" s="36" t="s">
        <v>251</v>
      </c>
      <c r="E36" s="36" t="s">
        <v>252</v>
      </c>
      <c r="F36" s="13"/>
      <c r="G36" s="14" t="s">
        <v>22</v>
      </c>
      <c r="H36" s="14" t="s">
        <v>22</v>
      </c>
      <c r="I36" s="14" t="s">
        <v>22</v>
      </c>
      <c r="J36" s="14" t="s">
        <v>22</v>
      </c>
      <c r="K36" s="14" t="s">
        <v>22</v>
      </c>
      <c r="L36" s="14" t="s">
        <v>22</v>
      </c>
      <c r="M36" s="14" t="s">
        <v>22</v>
      </c>
      <c r="N36" s="14" t="s">
        <v>22</v>
      </c>
      <c r="O36" s="14" t="s">
        <v>22</v>
      </c>
      <c r="P36" s="14" t="s">
        <v>22</v>
      </c>
    </row>
    <row r="37" customFormat="false" ht="45" hidden="false" customHeight="true" outlineLevel="0" collapsed="false">
      <c r="A37" s="35" t="s">
        <v>253</v>
      </c>
      <c r="B37" s="36" t="s">
        <v>254</v>
      </c>
      <c r="C37" s="37" t="s">
        <v>19</v>
      </c>
      <c r="D37" s="36" t="s">
        <v>255</v>
      </c>
      <c r="E37" s="36" t="s">
        <v>256</v>
      </c>
      <c r="F37" s="13"/>
      <c r="G37" s="14" t="s">
        <v>22</v>
      </c>
      <c r="H37" s="15" t="s">
        <v>257</v>
      </c>
      <c r="I37" s="15" t="s">
        <v>258</v>
      </c>
      <c r="J37" s="14" t="s">
        <v>22</v>
      </c>
      <c r="K37" s="15" t="s">
        <v>259</v>
      </c>
      <c r="L37" s="15" t="s">
        <v>260</v>
      </c>
      <c r="M37" s="15" t="s">
        <v>261</v>
      </c>
      <c r="N37" s="15" t="s">
        <v>262</v>
      </c>
      <c r="O37" s="15" t="s">
        <v>263</v>
      </c>
      <c r="P37" s="15" t="s">
        <v>264</v>
      </c>
    </row>
    <row r="38" customFormat="false" ht="45" hidden="false" customHeight="true" outlineLevel="0" collapsed="false">
      <c r="A38" s="35" t="s">
        <v>265</v>
      </c>
      <c r="B38" s="36" t="s">
        <v>266</v>
      </c>
      <c r="C38" s="37" t="s">
        <v>19</v>
      </c>
      <c r="D38" s="36" t="s">
        <v>267</v>
      </c>
      <c r="E38" s="36" t="s">
        <v>268</v>
      </c>
      <c r="F38" s="13"/>
      <c r="G38" s="15" t="s">
        <v>269</v>
      </c>
      <c r="H38" s="15" t="s">
        <v>270</v>
      </c>
      <c r="I38" s="15" t="s">
        <v>271</v>
      </c>
      <c r="J38" s="14" t="s">
        <v>22</v>
      </c>
      <c r="K38" s="15" t="s">
        <v>272</v>
      </c>
      <c r="L38" s="15" t="s">
        <v>273</v>
      </c>
      <c r="M38" s="15" t="s">
        <v>274</v>
      </c>
      <c r="N38" s="15" t="s">
        <v>275</v>
      </c>
      <c r="O38" s="15" t="s">
        <v>271</v>
      </c>
      <c r="P38" s="15" t="s">
        <v>276</v>
      </c>
    </row>
    <row r="39" customFormat="false" ht="45" hidden="false" customHeight="true" outlineLevel="0" collapsed="false">
      <c r="A39" s="38" t="s">
        <v>277</v>
      </c>
      <c r="B39" s="39" t="s">
        <v>278</v>
      </c>
      <c r="C39" s="40" t="s">
        <v>49</v>
      </c>
      <c r="D39" s="39" t="s">
        <v>279</v>
      </c>
      <c r="E39" s="39" t="s">
        <v>280</v>
      </c>
      <c r="F39" s="13"/>
      <c r="G39" s="14" t="s">
        <v>22</v>
      </c>
      <c r="H39" s="15" t="s">
        <v>281</v>
      </c>
      <c r="I39" s="15" t="s">
        <v>282</v>
      </c>
      <c r="J39" s="14" t="s">
        <v>22</v>
      </c>
      <c r="K39" s="15" t="s">
        <v>283</v>
      </c>
      <c r="L39" s="15" t="s">
        <v>284</v>
      </c>
      <c r="M39" s="15" t="s">
        <v>285</v>
      </c>
      <c r="N39" s="14" t="s">
        <v>22</v>
      </c>
      <c r="O39" s="15" t="s">
        <v>286</v>
      </c>
      <c r="P39" s="15" t="s">
        <v>287</v>
      </c>
    </row>
    <row r="40" customFormat="false" ht="45" hidden="false" customHeight="true" outlineLevel="0" collapsed="false">
      <c r="A40" s="35" t="s">
        <v>288</v>
      </c>
      <c r="B40" s="36" t="s">
        <v>289</v>
      </c>
      <c r="C40" s="37" t="s">
        <v>19</v>
      </c>
      <c r="D40" s="36" t="s">
        <v>290</v>
      </c>
      <c r="E40" s="36" t="s">
        <v>291</v>
      </c>
      <c r="F40" s="13"/>
      <c r="G40" s="41" t="s">
        <v>292</v>
      </c>
      <c r="H40" s="15" t="s">
        <v>293</v>
      </c>
      <c r="I40" s="15" t="s">
        <v>294</v>
      </c>
      <c r="J40" s="14" t="s">
        <v>22</v>
      </c>
      <c r="K40" s="14" t="s">
        <v>22</v>
      </c>
      <c r="L40" s="15" t="s">
        <v>295</v>
      </c>
      <c r="M40" s="15" t="s">
        <v>296</v>
      </c>
      <c r="N40" s="15" t="s">
        <v>297</v>
      </c>
      <c r="O40" s="15" t="s">
        <v>298</v>
      </c>
      <c r="P40" s="15" t="s">
        <v>299</v>
      </c>
    </row>
    <row r="41" customFormat="false" ht="45" hidden="false" customHeight="true" outlineLevel="0" collapsed="false">
      <c r="A41" s="38" t="s">
        <v>300</v>
      </c>
      <c r="B41" s="39" t="s">
        <v>301</v>
      </c>
      <c r="C41" s="40" t="s">
        <v>49</v>
      </c>
      <c r="D41" s="39" t="s">
        <v>20</v>
      </c>
      <c r="E41" s="39" t="s">
        <v>302</v>
      </c>
      <c r="F41" s="13"/>
      <c r="G41" s="15" t="s">
        <v>303</v>
      </c>
      <c r="H41" s="15" t="s">
        <v>304</v>
      </c>
      <c r="I41" s="15" t="s">
        <v>305</v>
      </c>
      <c r="J41" s="15" t="s">
        <v>306</v>
      </c>
      <c r="K41" s="15" t="s">
        <v>306</v>
      </c>
      <c r="L41" s="15" t="s">
        <v>307</v>
      </c>
      <c r="M41" s="15" t="s">
        <v>308</v>
      </c>
      <c r="N41" s="15" t="s">
        <v>308</v>
      </c>
      <c r="O41" s="15" t="s">
        <v>309</v>
      </c>
      <c r="P41" s="15" t="s">
        <v>310</v>
      </c>
    </row>
    <row r="42" customFormat="false" ht="45" hidden="false" customHeight="true" outlineLevel="0" collapsed="false">
      <c r="A42" s="35" t="s">
        <v>311</v>
      </c>
      <c r="B42" s="36" t="s">
        <v>312</v>
      </c>
      <c r="C42" s="37" t="s">
        <v>19</v>
      </c>
      <c r="D42" s="36" t="s">
        <v>20</v>
      </c>
      <c r="E42" s="36" t="s">
        <v>313</v>
      </c>
      <c r="F42" s="13"/>
      <c r="G42" s="41" t="s">
        <v>314</v>
      </c>
      <c r="H42" s="15" t="s">
        <v>315</v>
      </c>
      <c r="I42" s="15" t="s">
        <v>316</v>
      </c>
      <c r="J42" s="14" t="s">
        <v>22</v>
      </c>
      <c r="K42" s="15" t="s">
        <v>317</v>
      </c>
      <c r="L42" s="15" t="s">
        <v>318</v>
      </c>
      <c r="M42" s="15" t="s">
        <v>319</v>
      </c>
      <c r="N42" s="15" t="s">
        <v>320</v>
      </c>
      <c r="O42" s="15" t="s">
        <v>321</v>
      </c>
      <c r="P42" s="15" t="s">
        <v>322</v>
      </c>
    </row>
    <row r="43" customFormat="false" ht="45" hidden="false" customHeight="true" outlineLevel="0" collapsed="false">
      <c r="A43" s="38" t="s">
        <v>323</v>
      </c>
      <c r="B43" s="39" t="s">
        <v>324</v>
      </c>
      <c r="C43" s="40" t="s">
        <v>49</v>
      </c>
      <c r="D43" s="39" t="s">
        <v>20</v>
      </c>
      <c r="E43" s="39" t="s">
        <v>325</v>
      </c>
      <c r="F43" s="13"/>
      <c r="G43" s="14" t="s">
        <v>22</v>
      </c>
      <c r="H43" s="15" t="s">
        <v>326</v>
      </c>
      <c r="I43" s="15" t="s">
        <v>327</v>
      </c>
      <c r="J43" s="15" t="s">
        <v>328</v>
      </c>
      <c r="K43" s="15" t="s">
        <v>329</v>
      </c>
      <c r="L43" s="14" t="s">
        <v>22</v>
      </c>
      <c r="M43" s="14" t="s">
        <v>22</v>
      </c>
      <c r="N43" s="15" t="s">
        <v>330</v>
      </c>
      <c r="O43" s="15" t="s">
        <v>331</v>
      </c>
      <c r="P43" s="15" t="s">
        <v>332</v>
      </c>
    </row>
    <row r="44" customFormat="false" ht="45" hidden="false" customHeight="true" outlineLevel="0" collapsed="false">
      <c r="A44" s="38" t="s">
        <v>333</v>
      </c>
      <c r="B44" s="39" t="s">
        <v>334</v>
      </c>
      <c r="C44" s="40" t="s">
        <v>49</v>
      </c>
      <c r="D44" s="39" t="s">
        <v>20</v>
      </c>
      <c r="E44" s="39" t="s">
        <v>335</v>
      </c>
      <c r="F44" s="13"/>
      <c r="G44" s="14" t="s">
        <v>22</v>
      </c>
      <c r="H44" s="15" t="s">
        <v>336</v>
      </c>
      <c r="I44" s="14" t="s">
        <v>22</v>
      </c>
      <c r="J44" s="15" t="s">
        <v>337</v>
      </c>
      <c r="K44" s="15" t="s">
        <v>338</v>
      </c>
      <c r="L44" s="14" t="s">
        <v>22</v>
      </c>
      <c r="M44" s="14" t="s">
        <v>22</v>
      </c>
      <c r="N44" s="14" t="s">
        <v>22</v>
      </c>
      <c r="O44" s="15" t="s">
        <v>339</v>
      </c>
      <c r="P44" s="15" t="s">
        <v>340</v>
      </c>
    </row>
    <row r="45" customFormat="false" ht="45" hidden="false" customHeight="true" outlineLevel="0" collapsed="false">
      <c r="A45" s="35" t="s">
        <v>341</v>
      </c>
      <c r="B45" s="36" t="s">
        <v>342</v>
      </c>
      <c r="C45" s="37" t="s">
        <v>19</v>
      </c>
      <c r="D45" s="36" t="s">
        <v>343</v>
      </c>
      <c r="E45" s="36" t="s">
        <v>344</v>
      </c>
      <c r="F45" s="13"/>
      <c r="G45" s="14" t="s">
        <v>22</v>
      </c>
      <c r="H45" s="15" t="s">
        <v>345</v>
      </c>
      <c r="I45" s="15" t="s">
        <v>346</v>
      </c>
      <c r="J45" s="14" t="s">
        <v>22</v>
      </c>
      <c r="K45" s="15" t="s">
        <v>347</v>
      </c>
      <c r="L45" s="14" t="s">
        <v>22</v>
      </c>
      <c r="M45" s="15" t="s">
        <v>346</v>
      </c>
      <c r="N45" s="15" t="s">
        <v>348</v>
      </c>
      <c r="O45" s="15" t="s">
        <v>349</v>
      </c>
      <c r="P45" s="15" t="s">
        <v>350</v>
      </c>
    </row>
    <row r="46" customFormat="false" ht="45" hidden="false" customHeight="true" outlineLevel="0" collapsed="false">
      <c r="A46" s="38" t="s">
        <v>351</v>
      </c>
      <c r="B46" s="39" t="s">
        <v>352</v>
      </c>
      <c r="C46" s="40" t="s">
        <v>49</v>
      </c>
      <c r="D46" s="39" t="s">
        <v>20</v>
      </c>
      <c r="E46" s="39" t="s">
        <v>353</v>
      </c>
      <c r="F46" s="13"/>
      <c r="G46" s="14" t="s">
        <v>22</v>
      </c>
      <c r="H46" s="14" t="s">
        <v>22</v>
      </c>
      <c r="I46" s="14" t="s">
        <v>22</v>
      </c>
      <c r="J46" s="14" t="s">
        <v>22</v>
      </c>
      <c r="K46" s="14" t="s">
        <v>22</v>
      </c>
      <c r="L46" s="15" t="s">
        <v>354</v>
      </c>
      <c r="M46" s="14" t="s">
        <v>22</v>
      </c>
      <c r="N46" s="14" t="s">
        <v>22</v>
      </c>
      <c r="O46" s="14" t="s">
        <v>22</v>
      </c>
      <c r="P46" s="15" t="s">
        <v>355</v>
      </c>
    </row>
    <row r="47" customFormat="false" ht="45" hidden="false" customHeight="true" outlineLevel="0" collapsed="false">
      <c r="A47" s="38" t="s">
        <v>356</v>
      </c>
      <c r="B47" s="39" t="s">
        <v>357</v>
      </c>
      <c r="C47" s="40" t="s">
        <v>49</v>
      </c>
      <c r="D47" s="39" t="s">
        <v>20</v>
      </c>
      <c r="E47" s="39" t="s">
        <v>358</v>
      </c>
      <c r="F47" s="13"/>
      <c r="G47" s="14" t="s">
        <v>22</v>
      </c>
      <c r="H47" s="14" t="s">
        <v>22</v>
      </c>
      <c r="I47" s="14" t="s">
        <v>22</v>
      </c>
      <c r="J47" s="14" t="s">
        <v>22</v>
      </c>
      <c r="K47" s="14" t="s">
        <v>22</v>
      </c>
      <c r="L47" s="14" t="s">
        <v>22</v>
      </c>
      <c r="M47" s="15" t="s">
        <v>359</v>
      </c>
      <c r="N47" s="14" t="s">
        <v>22</v>
      </c>
      <c r="O47" s="15" t="s">
        <v>360</v>
      </c>
      <c r="P47" s="15" t="s">
        <v>361</v>
      </c>
    </row>
    <row r="48" customFormat="false" ht="45" hidden="false" customHeight="true" outlineLevel="0" collapsed="false">
      <c r="A48" s="35" t="s">
        <v>362</v>
      </c>
      <c r="B48" s="36" t="s">
        <v>363</v>
      </c>
      <c r="C48" s="37" t="s">
        <v>19</v>
      </c>
      <c r="D48" s="36" t="s">
        <v>364</v>
      </c>
      <c r="E48" s="36" t="s">
        <v>365</v>
      </c>
      <c r="F48" s="13"/>
      <c r="G48" s="14" t="s">
        <v>22</v>
      </c>
      <c r="H48" s="14" t="s">
        <v>22</v>
      </c>
      <c r="I48" s="15" t="s">
        <v>366</v>
      </c>
      <c r="J48" s="14" t="s">
        <v>22</v>
      </c>
      <c r="K48" s="14" t="s">
        <v>22</v>
      </c>
      <c r="L48" s="14" t="s">
        <v>22</v>
      </c>
      <c r="M48" s="15" t="s">
        <v>367</v>
      </c>
      <c r="N48" s="14" t="s">
        <v>22</v>
      </c>
      <c r="O48" s="14" t="s">
        <v>22</v>
      </c>
      <c r="P48" s="14" t="s">
        <v>22</v>
      </c>
    </row>
    <row r="49" customFormat="false" ht="45" hidden="false" customHeight="true" outlineLevel="0" collapsed="false">
      <c r="A49" s="38" t="s">
        <v>368</v>
      </c>
      <c r="B49" s="39" t="s">
        <v>369</v>
      </c>
      <c r="C49" s="40" t="s">
        <v>49</v>
      </c>
      <c r="D49" s="39" t="s">
        <v>20</v>
      </c>
      <c r="E49" s="39" t="s">
        <v>370</v>
      </c>
      <c r="F49" s="13"/>
      <c r="G49" s="14" t="s">
        <v>22</v>
      </c>
      <c r="H49" s="14" t="s">
        <v>22</v>
      </c>
      <c r="I49" s="14" t="s">
        <v>22</v>
      </c>
      <c r="J49" s="14" t="s">
        <v>22</v>
      </c>
      <c r="K49" s="14" t="s">
        <v>22</v>
      </c>
      <c r="L49" s="14" t="s">
        <v>22</v>
      </c>
      <c r="M49" s="14" t="s">
        <v>22</v>
      </c>
      <c r="N49" s="14" t="s">
        <v>22</v>
      </c>
      <c r="O49" s="14" t="s">
        <v>22</v>
      </c>
      <c r="P49" s="14" t="s">
        <v>22</v>
      </c>
    </row>
    <row r="50" customFormat="false" ht="45" hidden="false" customHeight="true" outlineLevel="0" collapsed="false">
      <c r="A50" s="38" t="s">
        <v>371</v>
      </c>
      <c r="B50" s="39" t="s">
        <v>372</v>
      </c>
      <c r="C50" s="40" t="s">
        <v>49</v>
      </c>
      <c r="D50" s="39" t="s">
        <v>20</v>
      </c>
      <c r="E50" s="39" t="s">
        <v>373</v>
      </c>
      <c r="F50" s="13"/>
      <c r="G50" s="14" t="s">
        <v>22</v>
      </c>
      <c r="H50" s="15" t="s">
        <v>374</v>
      </c>
      <c r="I50" s="14" t="s">
        <v>22</v>
      </c>
      <c r="J50" s="14" t="s">
        <v>22</v>
      </c>
      <c r="K50" s="14" t="s">
        <v>22</v>
      </c>
      <c r="L50" s="15" t="s">
        <v>375</v>
      </c>
      <c r="M50" s="14" t="s">
        <v>22</v>
      </c>
      <c r="N50" s="14" t="s">
        <v>22</v>
      </c>
      <c r="O50" s="15" t="s">
        <v>376</v>
      </c>
      <c r="P50" s="14" t="s">
        <v>22</v>
      </c>
    </row>
    <row r="51" customFormat="false" ht="45" hidden="false" customHeight="true" outlineLevel="0" collapsed="false">
      <c r="A51" s="35" t="s">
        <v>377</v>
      </c>
      <c r="B51" s="36" t="s">
        <v>378</v>
      </c>
      <c r="C51" s="37" t="s">
        <v>19</v>
      </c>
      <c r="D51" s="36" t="s">
        <v>20</v>
      </c>
      <c r="E51" s="36" t="s">
        <v>379</v>
      </c>
      <c r="F51" s="13"/>
      <c r="G51" s="15" t="s">
        <v>380</v>
      </c>
      <c r="H51" s="15" t="s">
        <v>381</v>
      </c>
      <c r="I51" s="41" t="s">
        <v>382</v>
      </c>
      <c r="J51" s="14" t="s">
        <v>22</v>
      </c>
      <c r="K51" s="41" t="s">
        <v>383</v>
      </c>
      <c r="L51" s="15" t="s">
        <v>384</v>
      </c>
      <c r="M51" s="15" t="s">
        <v>385</v>
      </c>
      <c r="N51" s="15" t="s">
        <v>386</v>
      </c>
      <c r="O51" s="15" t="s">
        <v>387</v>
      </c>
      <c r="P51" s="15" t="s">
        <v>388</v>
      </c>
    </row>
    <row r="52" customFormat="false" ht="45" hidden="false" customHeight="true" outlineLevel="0" collapsed="false">
      <c r="A52" s="35" t="s">
        <v>389</v>
      </c>
      <c r="B52" s="36" t="s">
        <v>390</v>
      </c>
      <c r="C52" s="37" t="s">
        <v>19</v>
      </c>
      <c r="D52" s="36" t="s">
        <v>391</v>
      </c>
      <c r="E52" s="36" t="s">
        <v>392</v>
      </c>
      <c r="F52" s="13" t="s">
        <v>393</v>
      </c>
      <c r="G52" s="15" t="s">
        <v>394</v>
      </c>
      <c r="H52" s="15" t="s">
        <v>395</v>
      </c>
      <c r="I52" s="15" t="s">
        <v>396</v>
      </c>
      <c r="J52" s="15" t="s">
        <v>397</v>
      </c>
      <c r="K52" s="15" t="s">
        <v>398</v>
      </c>
      <c r="L52" s="15" t="s">
        <v>399</v>
      </c>
      <c r="M52" s="15" t="s">
        <v>400</v>
      </c>
      <c r="N52" s="15" t="s">
        <v>401</v>
      </c>
      <c r="O52" s="15" t="s">
        <v>394</v>
      </c>
      <c r="P52" s="15" t="s">
        <v>402</v>
      </c>
    </row>
    <row r="53" customFormat="false" ht="45" hidden="false" customHeight="true" outlineLevel="0" collapsed="false">
      <c r="A53" s="35" t="s">
        <v>403</v>
      </c>
      <c r="B53" s="36" t="s">
        <v>404</v>
      </c>
      <c r="C53" s="37" t="s">
        <v>19</v>
      </c>
      <c r="D53" s="36" t="s">
        <v>405</v>
      </c>
      <c r="E53" s="36" t="s">
        <v>406</v>
      </c>
      <c r="F53" s="13" t="s">
        <v>393</v>
      </c>
      <c r="G53" s="14" t="s">
        <v>22</v>
      </c>
      <c r="H53" s="15" t="s">
        <v>407</v>
      </c>
      <c r="I53" s="15" t="s">
        <v>408</v>
      </c>
      <c r="J53" s="15" t="s">
        <v>409</v>
      </c>
      <c r="K53" s="14" t="s">
        <v>22</v>
      </c>
      <c r="L53" s="15" t="s">
        <v>410</v>
      </c>
      <c r="M53" s="15" t="s">
        <v>411</v>
      </c>
      <c r="N53" s="14" t="s">
        <v>22</v>
      </c>
      <c r="O53" s="15" t="s">
        <v>412</v>
      </c>
      <c r="P53" s="15" t="s">
        <v>413</v>
      </c>
    </row>
    <row r="54" customFormat="false" ht="45" hidden="false" customHeight="true" outlineLevel="0" collapsed="false">
      <c r="A54" s="35" t="s">
        <v>414</v>
      </c>
      <c r="B54" s="36" t="s">
        <v>415</v>
      </c>
      <c r="C54" s="37" t="s">
        <v>19</v>
      </c>
      <c r="D54" s="36" t="s">
        <v>290</v>
      </c>
      <c r="E54" s="36" t="s">
        <v>416</v>
      </c>
      <c r="F54" s="13" t="s">
        <v>393</v>
      </c>
      <c r="G54" s="14" t="s">
        <v>22</v>
      </c>
      <c r="H54" s="15" t="s">
        <v>417</v>
      </c>
      <c r="I54" s="15" t="s">
        <v>418</v>
      </c>
      <c r="J54" s="14" t="s">
        <v>22</v>
      </c>
      <c r="K54" s="14" t="s">
        <v>22</v>
      </c>
      <c r="L54" s="15" t="s">
        <v>419</v>
      </c>
      <c r="M54" s="15" t="s">
        <v>420</v>
      </c>
      <c r="N54" s="15" t="s">
        <v>421</v>
      </c>
      <c r="O54" s="15" t="s">
        <v>422</v>
      </c>
      <c r="P54" s="15" t="s">
        <v>423</v>
      </c>
    </row>
    <row r="55" customFormat="false" ht="45" hidden="false" customHeight="true" outlineLevel="0" collapsed="false">
      <c r="A55" s="35" t="s">
        <v>424</v>
      </c>
      <c r="B55" s="36" t="s">
        <v>425</v>
      </c>
      <c r="C55" s="37" t="s">
        <v>19</v>
      </c>
      <c r="D55" s="36" t="s">
        <v>290</v>
      </c>
      <c r="E55" s="36" t="s">
        <v>426</v>
      </c>
      <c r="F55" s="13" t="s">
        <v>393</v>
      </c>
      <c r="G55" s="14" t="s">
        <v>22</v>
      </c>
      <c r="H55" s="15" t="s">
        <v>427</v>
      </c>
      <c r="I55" s="14" t="s">
        <v>22</v>
      </c>
      <c r="J55" s="14" t="s">
        <v>22</v>
      </c>
      <c r="K55" s="14" t="s">
        <v>22</v>
      </c>
      <c r="L55" s="15" t="s">
        <v>428</v>
      </c>
      <c r="M55" s="15" t="s">
        <v>429</v>
      </c>
      <c r="N55" s="14" t="s">
        <v>22</v>
      </c>
      <c r="O55" s="15" t="s">
        <v>430</v>
      </c>
      <c r="P55" s="15" t="s">
        <v>431</v>
      </c>
    </row>
    <row r="56" customFormat="false" ht="12" hidden="false" customHeight="true" outlineLevel="0" collapsed="false"/>
    <row r="57" customFormat="false" ht="45" hidden="false" customHeight="true" outlineLevel="0" collapsed="false">
      <c r="A57" s="42" t="s">
        <v>432</v>
      </c>
      <c r="B57" s="42"/>
      <c r="C57" s="42"/>
      <c r="D57" s="42"/>
      <c r="E57" s="42"/>
      <c r="F57" s="7"/>
      <c r="G57" s="8"/>
      <c r="H57" s="9"/>
      <c r="I57" s="9"/>
      <c r="J57" s="9"/>
      <c r="K57" s="9"/>
    </row>
    <row r="58" customFormat="false" ht="45" hidden="false" customHeight="true" outlineLevel="0" collapsed="false">
      <c r="A58" s="43" t="s">
        <v>433</v>
      </c>
      <c r="B58" s="44" t="s">
        <v>434</v>
      </c>
      <c r="C58" s="45" t="s">
        <v>19</v>
      </c>
      <c r="D58" s="44" t="s">
        <v>25</v>
      </c>
      <c r="E58" s="44" t="s">
        <v>435</v>
      </c>
      <c r="F58" s="13"/>
      <c r="G58" s="15" t="s">
        <v>436</v>
      </c>
      <c r="H58" s="15" t="s">
        <v>437</v>
      </c>
      <c r="I58" s="15" t="s">
        <v>438</v>
      </c>
      <c r="J58" s="15" t="s">
        <v>439</v>
      </c>
      <c r="K58" s="15" t="s">
        <v>440</v>
      </c>
      <c r="L58" s="15" t="s">
        <v>441</v>
      </c>
      <c r="M58" s="15" t="s">
        <v>442</v>
      </c>
      <c r="N58" s="15" t="s">
        <v>443</v>
      </c>
      <c r="O58" s="15" t="s">
        <v>444</v>
      </c>
      <c r="P58" s="15" t="s">
        <v>445</v>
      </c>
    </row>
    <row r="59" customFormat="false" ht="45" hidden="false" customHeight="true" outlineLevel="0" collapsed="false">
      <c r="A59" s="43" t="s">
        <v>446</v>
      </c>
      <c r="B59" s="44" t="s">
        <v>447</v>
      </c>
      <c r="C59" s="45" t="s">
        <v>19</v>
      </c>
      <c r="D59" s="44" t="s">
        <v>20</v>
      </c>
      <c r="E59" s="44" t="s">
        <v>448</v>
      </c>
      <c r="F59" s="13"/>
      <c r="G59" s="15" t="s">
        <v>449</v>
      </c>
      <c r="H59" s="15" t="s">
        <v>450</v>
      </c>
      <c r="I59" s="15" t="s">
        <v>451</v>
      </c>
      <c r="J59" s="15" t="s">
        <v>452</v>
      </c>
      <c r="K59" s="15" t="s">
        <v>453</v>
      </c>
      <c r="L59" s="15" t="s">
        <v>454</v>
      </c>
      <c r="M59" s="15" t="s">
        <v>455</v>
      </c>
      <c r="N59" s="15" t="s">
        <v>456</v>
      </c>
      <c r="O59" s="15" t="s">
        <v>457</v>
      </c>
      <c r="P59" s="15" t="s">
        <v>458</v>
      </c>
    </row>
    <row r="60" customFormat="false" ht="45" hidden="false" customHeight="true" outlineLevel="0" collapsed="false">
      <c r="A60" s="43" t="s">
        <v>459</v>
      </c>
      <c r="B60" s="44" t="s">
        <v>460</v>
      </c>
      <c r="C60" s="45" t="s">
        <v>19</v>
      </c>
      <c r="D60" s="44" t="s">
        <v>20</v>
      </c>
      <c r="E60" s="44" t="s">
        <v>461</v>
      </c>
      <c r="F60" s="13"/>
      <c r="G60" s="15" t="s">
        <v>462</v>
      </c>
      <c r="H60" s="15" t="s">
        <v>463</v>
      </c>
      <c r="I60" s="15" t="s">
        <v>464</v>
      </c>
      <c r="J60" s="41" t="s">
        <v>465</v>
      </c>
      <c r="K60" s="15" t="s">
        <v>466</v>
      </c>
      <c r="L60" s="15" t="s">
        <v>467</v>
      </c>
      <c r="M60" s="15" t="s">
        <v>468</v>
      </c>
      <c r="N60" s="15" t="s">
        <v>469</v>
      </c>
      <c r="O60" s="15" t="s">
        <v>470</v>
      </c>
      <c r="P60" s="15" t="s">
        <v>471</v>
      </c>
    </row>
    <row r="61" customFormat="false" ht="45" hidden="false" customHeight="true" outlineLevel="0" collapsed="false">
      <c r="A61" s="46" t="s">
        <v>472</v>
      </c>
      <c r="B61" s="47" t="s">
        <v>473</v>
      </c>
      <c r="C61" s="48" t="s">
        <v>49</v>
      </c>
      <c r="D61" s="47" t="s">
        <v>20</v>
      </c>
      <c r="E61" s="47" t="s">
        <v>474</v>
      </c>
      <c r="F61" s="13"/>
      <c r="G61" s="14" t="s">
        <v>22</v>
      </c>
      <c r="H61" s="14" t="s">
        <v>22</v>
      </c>
      <c r="I61" s="14" t="s">
        <v>22</v>
      </c>
      <c r="J61" s="14" t="s">
        <v>22</v>
      </c>
      <c r="K61" s="14" t="s">
        <v>22</v>
      </c>
      <c r="L61" s="14" t="s">
        <v>22</v>
      </c>
      <c r="M61" s="14" t="s">
        <v>22</v>
      </c>
      <c r="N61" s="14" t="s">
        <v>22</v>
      </c>
      <c r="O61" s="14" t="s">
        <v>22</v>
      </c>
      <c r="P61" s="14" t="s">
        <v>22</v>
      </c>
    </row>
    <row r="62" customFormat="false" ht="45" hidden="false" customHeight="true" outlineLevel="0" collapsed="false">
      <c r="A62" s="43" t="s">
        <v>475</v>
      </c>
      <c r="B62" s="44" t="s">
        <v>476</v>
      </c>
      <c r="C62" s="45" t="s">
        <v>19</v>
      </c>
      <c r="D62" s="44" t="s">
        <v>80</v>
      </c>
      <c r="E62" s="44" t="s">
        <v>477</v>
      </c>
      <c r="F62" s="13"/>
      <c r="G62" s="14" t="s">
        <v>22</v>
      </c>
      <c r="H62" s="15" t="s">
        <v>478</v>
      </c>
      <c r="I62" s="15" t="s">
        <v>479</v>
      </c>
      <c r="J62" s="15" t="s">
        <v>480</v>
      </c>
      <c r="K62" s="15" t="s">
        <v>481</v>
      </c>
      <c r="L62" s="15" t="s">
        <v>482</v>
      </c>
      <c r="M62" s="14" t="s">
        <v>22</v>
      </c>
      <c r="N62" s="15" t="s">
        <v>483</v>
      </c>
      <c r="O62" s="14" t="s">
        <v>22</v>
      </c>
      <c r="P62" s="15" t="s">
        <v>484</v>
      </c>
    </row>
    <row r="63" customFormat="false" ht="45" hidden="false" customHeight="true" outlineLevel="0" collapsed="false">
      <c r="A63" s="46" t="s">
        <v>485</v>
      </c>
      <c r="B63" s="47" t="s">
        <v>486</v>
      </c>
      <c r="C63" s="48" t="s">
        <v>49</v>
      </c>
      <c r="D63" s="47" t="s">
        <v>20</v>
      </c>
      <c r="E63" s="47" t="s">
        <v>487</v>
      </c>
      <c r="F63" s="13"/>
      <c r="G63" s="14" t="s">
        <v>22</v>
      </c>
      <c r="H63" s="15" t="s">
        <v>488</v>
      </c>
      <c r="I63" s="15" t="s">
        <v>489</v>
      </c>
      <c r="J63" s="15" t="s">
        <v>490</v>
      </c>
      <c r="K63" s="15" t="s">
        <v>491</v>
      </c>
      <c r="L63" s="14" t="s">
        <v>22</v>
      </c>
      <c r="M63" s="14" t="s">
        <v>22</v>
      </c>
      <c r="N63" s="15" t="s">
        <v>492</v>
      </c>
      <c r="O63" s="14" t="s">
        <v>22</v>
      </c>
      <c r="P63" s="14" t="s">
        <v>22</v>
      </c>
    </row>
    <row r="64" customFormat="false" ht="45" hidden="false" customHeight="true" outlineLevel="0" collapsed="false">
      <c r="A64" s="43" t="s">
        <v>493</v>
      </c>
      <c r="B64" s="44" t="s">
        <v>494</v>
      </c>
      <c r="C64" s="45" t="s">
        <v>19</v>
      </c>
      <c r="D64" s="44" t="s">
        <v>20</v>
      </c>
      <c r="E64" s="44" t="s">
        <v>495</v>
      </c>
      <c r="F64" s="13"/>
      <c r="G64" s="14" t="s">
        <v>22</v>
      </c>
      <c r="H64" s="15" t="s">
        <v>496</v>
      </c>
      <c r="I64" s="14" t="s">
        <v>22</v>
      </c>
      <c r="J64" s="15" t="s">
        <v>497</v>
      </c>
      <c r="K64" s="14" t="s">
        <v>22</v>
      </c>
      <c r="L64" s="15" t="s">
        <v>498</v>
      </c>
      <c r="M64" s="15" t="s">
        <v>499</v>
      </c>
      <c r="N64" s="14" t="s">
        <v>22</v>
      </c>
      <c r="O64" s="15" t="s">
        <v>500</v>
      </c>
      <c r="P64" s="15" t="s">
        <v>501</v>
      </c>
    </row>
    <row r="65" customFormat="false" ht="45" hidden="false" customHeight="true" outlineLevel="0" collapsed="false">
      <c r="A65" s="46" t="s">
        <v>502</v>
      </c>
      <c r="B65" s="47" t="s">
        <v>503</v>
      </c>
      <c r="C65" s="48" t="s">
        <v>49</v>
      </c>
      <c r="D65" s="47" t="s">
        <v>80</v>
      </c>
      <c r="E65" s="47" t="s">
        <v>504</v>
      </c>
      <c r="F65" s="13"/>
      <c r="G65" s="14" t="s">
        <v>22</v>
      </c>
      <c r="H65" s="14" t="s">
        <v>22</v>
      </c>
      <c r="I65" s="14" t="s">
        <v>22</v>
      </c>
      <c r="J65" s="14" t="s">
        <v>22</v>
      </c>
      <c r="K65" s="14" t="s">
        <v>22</v>
      </c>
      <c r="L65" s="14" t="s">
        <v>22</v>
      </c>
      <c r="M65" s="14" t="s">
        <v>22</v>
      </c>
      <c r="N65" s="14" t="s">
        <v>22</v>
      </c>
      <c r="O65" s="14" t="s">
        <v>22</v>
      </c>
      <c r="P65" s="14" t="s">
        <v>22</v>
      </c>
    </row>
    <row r="66" customFormat="false" ht="45" hidden="false" customHeight="true" outlineLevel="0" collapsed="false">
      <c r="A66" s="43" t="s">
        <v>505</v>
      </c>
      <c r="B66" s="44" t="s">
        <v>506</v>
      </c>
      <c r="C66" s="45" t="s">
        <v>19</v>
      </c>
      <c r="D66" s="44" t="s">
        <v>507</v>
      </c>
      <c r="E66" s="44" t="s">
        <v>508</v>
      </c>
      <c r="F66" s="13" t="s">
        <v>393</v>
      </c>
      <c r="G66" s="14" t="s">
        <v>22</v>
      </c>
      <c r="H66" s="15" t="s">
        <v>509</v>
      </c>
      <c r="I66" s="15" t="s">
        <v>510</v>
      </c>
      <c r="J66" s="14" t="s">
        <v>22</v>
      </c>
      <c r="K66" s="41" t="s">
        <v>511</v>
      </c>
      <c r="L66" s="15" t="s">
        <v>512</v>
      </c>
      <c r="M66" s="14" t="s">
        <v>22</v>
      </c>
      <c r="N66" s="14" t="s">
        <v>22</v>
      </c>
      <c r="O66" s="14" t="s">
        <v>22</v>
      </c>
      <c r="P66" s="15" t="s">
        <v>513</v>
      </c>
    </row>
    <row r="67" customFormat="false" ht="45" hidden="false" customHeight="true" outlineLevel="0" collapsed="false">
      <c r="A67" s="46" t="s">
        <v>514</v>
      </c>
      <c r="B67" s="47" t="s">
        <v>515</v>
      </c>
      <c r="C67" s="48" t="s">
        <v>49</v>
      </c>
      <c r="D67" s="47" t="s">
        <v>20</v>
      </c>
      <c r="E67" s="47" t="s">
        <v>516</v>
      </c>
      <c r="F67" s="13" t="s">
        <v>393</v>
      </c>
      <c r="G67" s="14" t="s">
        <v>22</v>
      </c>
      <c r="H67" s="15" t="s">
        <v>517</v>
      </c>
      <c r="I67" s="41" t="s">
        <v>518</v>
      </c>
      <c r="J67" s="14" t="s">
        <v>22</v>
      </c>
      <c r="K67" s="41" t="s">
        <v>519</v>
      </c>
      <c r="L67" s="15" t="s">
        <v>520</v>
      </c>
      <c r="M67" s="14" t="s">
        <v>22</v>
      </c>
      <c r="N67" s="14" t="s">
        <v>22</v>
      </c>
      <c r="O67" s="15" t="s">
        <v>521</v>
      </c>
      <c r="P67" s="15" t="s">
        <v>522</v>
      </c>
    </row>
    <row r="68" customFormat="false" ht="45" hidden="false" customHeight="true" outlineLevel="0" collapsed="false">
      <c r="A68" s="46" t="s">
        <v>523</v>
      </c>
      <c r="B68" s="47" t="s">
        <v>524</v>
      </c>
      <c r="C68" s="48" t="s">
        <v>49</v>
      </c>
      <c r="D68" s="47" t="s">
        <v>20</v>
      </c>
      <c r="E68" s="47" t="s">
        <v>525</v>
      </c>
      <c r="F68" s="13" t="s">
        <v>393</v>
      </c>
      <c r="G68" s="14" t="s">
        <v>22</v>
      </c>
      <c r="H68" s="15" t="s">
        <v>526</v>
      </c>
      <c r="I68" s="41" t="s">
        <v>527</v>
      </c>
      <c r="J68" s="14" t="s">
        <v>22</v>
      </c>
      <c r="K68" s="41" t="s">
        <v>528</v>
      </c>
      <c r="L68" s="15" t="s">
        <v>529</v>
      </c>
      <c r="M68" s="14" t="s">
        <v>22</v>
      </c>
      <c r="N68" s="14" t="s">
        <v>22</v>
      </c>
      <c r="O68" s="15" t="s">
        <v>530</v>
      </c>
      <c r="P68" s="15" t="s">
        <v>531</v>
      </c>
    </row>
    <row r="69" customFormat="false" ht="45" hidden="false" customHeight="true" outlineLevel="0" collapsed="false">
      <c r="A69" s="46" t="s">
        <v>532</v>
      </c>
      <c r="B69" s="47" t="s">
        <v>533</v>
      </c>
      <c r="C69" s="48" t="s">
        <v>49</v>
      </c>
      <c r="D69" s="47" t="s">
        <v>20</v>
      </c>
      <c r="E69" s="47" t="s">
        <v>534</v>
      </c>
      <c r="F69" s="13"/>
      <c r="G69" s="14" t="s">
        <v>22</v>
      </c>
      <c r="H69" s="14" t="s">
        <v>22</v>
      </c>
      <c r="I69" s="14" t="s">
        <v>22</v>
      </c>
      <c r="J69" s="14" t="s">
        <v>22</v>
      </c>
      <c r="K69" s="14" t="s">
        <v>22</v>
      </c>
      <c r="L69" s="14" t="s">
        <v>22</v>
      </c>
      <c r="M69" s="14" t="s">
        <v>22</v>
      </c>
      <c r="N69" s="14" t="s">
        <v>22</v>
      </c>
      <c r="O69" s="14" t="s">
        <v>22</v>
      </c>
      <c r="P69" s="14" t="s">
        <v>22</v>
      </c>
    </row>
    <row r="70" customFormat="false" ht="45" hidden="false" customHeight="true" outlineLevel="0" collapsed="false">
      <c r="A70" s="46" t="s">
        <v>535</v>
      </c>
      <c r="B70" s="47" t="s">
        <v>536</v>
      </c>
      <c r="C70" s="48" t="s">
        <v>49</v>
      </c>
      <c r="D70" s="47" t="s">
        <v>20</v>
      </c>
      <c r="E70" s="47" t="s">
        <v>537</v>
      </c>
      <c r="F70" s="13"/>
      <c r="G70" s="15" t="s">
        <v>538</v>
      </c>
      <c r="H70" s="15" t="s">
        <v>539</v>
      </c>
      <c r="I70" s="15" t="s">
        <v>540</v>
      </c>
      <c r="J70" s="14" t="s">
        <v>22</v>
      </c>
      <c r="K70" s="14" t="s">
        <v>22</v>
      </c>
      <c r="L70" s="15" t="s">
        <v>541</v>
      </c>
      <c r="M70" s="14" t="s">
        <v>22</v>
      </c>
      <c r="N70" s="14" t="s">
        <v>22</v>
      </c>
      <c r="O70" s="15" t="s">
        <v>542</v>
      </c>
      <c r="P70" s="15" t="s">
        <v>543</v>
      </c>
    </row>
    <row r="71" customFormat="false" ht="12" hidden="false" customHeight="true" outlineLevel="0" collapsed="false"/>
    <row r="72" customFormat="false" ht="45" hidden="false" customHeight="true" outlineLevel="0" collapsed="false">
      <c r="A72" s="49" t="s">
        <v>544</v>
      </c>
      <c r="B72" s="49"/>
      <c r="C72" s="49"/>
      <c r="D72" s="49"/>
      <c r="E72" s="49"/>
      <c r="F72" s="7"/>
      <c r="G72" s="8"/>
      <c r="H72" s="9"/>
      <c r="I72" s="9"/>
      <c r="J72" s="9"/>
      <c r="K72" s="9"/>
    </row>
    <row r="73" customFormat="false" ht="45" hidden="false" customHeight="true" outlineLevel="0" collapsed="false">
      <c r="A73" s="50" t="s">
        <v>545</v>
      </c>
      <c r="B73" s="51" t="s">
        <v>546</v>
      </c>
      <c r="C73" s="52" t="s">
        <v>19</v>
      </c>
      <c r="D73" s="51" t="s">
        <v>20</v>
      </c>
      <c r="E73" s="51" t="s">
        <v>547</v>
      </c>
      <c r="F73" s="13" t="s">
        <v>393</v>
      </c>
      <c r="G73" s="15" t="s">
        <v>548</v>
      </c>
      <c r="H73" s="15" t="s">
        <v>549</v>
      </c>
      <c r="I73" s="15" t="s">
        <v>550</v>
      </c>
      <c r="J73" s="15" t="s">
        <v>551</v>
      </c>
      <c r="K73" s="15" t="s">
        <v>552</v>
      </c>
      <c r="L73" s="15" t="s">
        <v>553</v>
      </c>
      <c r="M73" s="15" t="s">
        <v>554</v>
      </c>
      <c r="N73" s="15" t="s">
        <v>555</v>
      </c>
      <c r="O73" s="15" t="s">
        <v>556</v>
      </c>
      <c r="P73" s="15" t="s">
        <v>557</v>
      </c>
    </row>
    <row r="74" customFormat="false" ht="45" hidden="false" customHeight="true" outlineLevel="0" collapsed="false">
      <c r="A74" s="50" t="s">
        <v>558</v>
      </c>
      <c r="B74" s="51" t="s">
        <v>559</v>
      </c>
      <c r="C74" s="52" t="s">
        <v>19</v>
      </c>
      <c r="D74" s="51" t="s">
        <v>20</v>
      </c>
      <c r="E74" s="51" t="s">
        <v>560</v>
      </c>
      <c r="F74" s="13" t="s">
        <v>393</v>
      </c>
      <c r="G74" s="15" t="s">
        <v>561</v>
      </c>
      <c r="H74" s="15" t="s">
        <v>562</v>
      </c>
      <c r="I74" s="15" t="s">
        <v>563</v>
      </c>
      <c r="J74" s="15" t="s">
        <v>564</v>
      </c>
      <c r="K74" s="15" t="s">
        <v>565</v>
      </c>
      <c r="L74" s="15" t="s">
        <v>566</v>
      </c>
      <c r="M74" s="15" t="s">
        <v>567</v>
      </c>
      <c r="N74" s="15" t="s">
        <v>568</v>
      </c>
      <c r="O74" s="15" t="s">
        <v>569</v>
      </c>
      <c r="P74" s="15" t="s">
        <v>570</v>
      </c>
    </row>
    <row r="75" customFormat="false" ht="45" hidden="false" customHeight="true" outlineLevel="0" collapsed="false">
      <c r="A75" s="53" t="s">
        <v>571</v>
      </c>
      <c r="B75" s="54" t="s">
        <v>572</v>
      </c>
      <c r="C75" s="55" t="s">
        <v>49</v>
      </c>
      <c r="D75" s="56" t="s">
        <v>573</v>
      </c>
      <c r="E75" s="54" t="s">
        <v>574</v>
      </c>
      <c r="F75" s="13" t="s">
        <v>393</v>
      </c>
      <c r="G75" s="15" t="s">
        <v>575</v>
      </c>
      <c r="H75" s="15" t="s">
        <v>576</v>
      </c>
      <c r="I75" s="41" t="s">
        <v>577</v>
      </c>
      <c r="J75" s="14" t="s">
        <v>22</v>
      </c>
      <c r="K75" s="14" t="s">
        <v>22</v>
      </c>
      <c r="L75" s="15" t="s">
        <v>578</v>
      </c>
      <c r="M75" s="15" t="s">
        <v>579</v>
      </c>
      <c r="N75" s="14" t="s">
        <v>22</v>
      </c>
      <c r="O75" s="15" t="s">
        <v>580</v>
      </c>
      <c r="P75" s="14" t="s">
        <v>22</v>
      </c>
    </row>
    <row r="76" customFormat="false" ht="45" hidden="false" customHeight="true" outlineLevel="0" collapsed="false">
      <c r="A76" s="53" t="s">
        <v>581</v>
      </c>
      <c r="B76" s="54" t="s">
        <v>582</v>
      </c>
      <c r="C76" s="55" t="s">
        <v>49</v>
      </c>
      <c r="D76" s="54" t="s">
        <v>583</v>
      </c>
      <c r="E76" s="54" t="s">
        <v>584</v>
      </c>
      <c r="F76" s="13"/>
      <c r="G76" s="15" t="s">
        <v>585</v>
      </c>
      <c r="H76" s="15" t="s">
        <v>586</v>
      </c>
      <c r="I76" s="14" t="s">
        <v>22</v>
      </c>
      <c r="J76" s="14" t="s">
        <v>22</v>
      </c>
      <c r="K76" s="14" t="s">
        <v>22</v>
      </c>
      <c r="L76" s="15" t="s">
        <v>587</v>
      </c>
      <c r="M76" s="15" t="s">
        <v>588</v>
      </c>
      <c r="N76" s="14" t="s">
        <v>22</v>
      </c>
      <c r="O76" s="15" t="s">
        <v>589</v>
      </c>
      <c r="P76" s="14" t="s">
        <v>22</v>
      </c>
    </row>
    <row r="77" customFormat="false" ht="45" hidden="false" customHeight="true" outlineLevel="0" collapsed="false">
      <c r="A77" s="53" t="s">
        <v>590</v>
      </c>
      <c r="B77" s="54" t="s">
        <v>591</v>
      </c>
      <c r="C77" s="55" t="s">
        <v>49</v>
      </c>
      <c r="D77" s="54" t="s">
        <v>20</v>
      </c>
      <c r="E77" s="54" t="s">
        <v>592</v>
      </c>
      <c r="F77" s="13" t="s">
        <v>393</v>
      </c>
      <c r="G77" s="15" t="s">
        <v>593</v>
      </c>
      <c r="H77" s="15" t="s">
        <v>594</v>
      </c>
      <c r="I77" s="41" t="s">
        <v>595</v>
      </c>
      <c r="J77" s="14" t="s">
        <v>22</v>
      </c>
      <c r="K77" s="14" t="s">
        <v>22</v>
      </c>
      <c r="L77" s="15" t="s">
        <v>596</v>
      </c>
      <c r="M77" s="14" t="s">
        <v>22</v>
      </c>
      <c r="N77" s="14" t="s">
        <v>22</v>
      </c>
      <c r="O77" s="15" t="s">
        <v>597</v>
      </c>
      <c r="P77" s="14" t="s">
        <v>22</v>
      </c>
    </row>
    <row r="78" customFormat="false" ht="45" hidden="false" customHeight="true" outlineLevel="0" collapsed="false">
      <c r="A78" s="53" t="s">
        <v>598</v>
      </c>
      <c r="B78" s="54" t="s">
        <v>599</v>
      </c>
      <c r="C78" s="55" t="s">
        <v>49</v>
      </c>
      <c r="D78" s="54" t="s">
        <v>20</v>
      </c>
      <c r="E78" s="54" t="s">
        <v>600</v>
      </c>
      <c r="F78" s="13" t="s">
        <v>393</v>
      </c>
      <c r="G78" s="14" t="s">
        <v>22</v>
      </c>
      <c r="H78" s="14" t="s">
        <v>22</v>
      </c>
      <c r="I78" s="14" t="s">
        <v>22</v>
      </c>
      <c r="J78" s="14" t="s">
        <v>22</v>
      </c>
      <c r="K78" s="14" t="s">
        <v>22</v>
      </c>
      <c r="L78" s="15" t="s">
        <v>601</v>
      </c>
      <c r="M78" s="14" t="s">
        <v>22</v>
      </c>
      <c r="N78" s="14" t="s">
        <v>22</v>
      </c>
      <c r="O78" s="15" t="s">
        <v>602</v>
      </c>
      <c r="P78" s="14" t="s">
        <v>22</v>
      </c>
    </row>
    <row r="79" customFormat="false" ht="45" hidden="false" customHeight="true" outlineLevel="0" collapsed="false">
      <c r="A79" s="53" t="s">
        <v>603</v>
      </c>
      <c r="B79" s="54" t="s">
        <v>604</v>
      </c>
      <c r="C79" s="55" t="s">
        <v>49</v>
      </c>
      <c r="D79" s="54" t="s">
        <v>20</v>
      </c>
      <c r="E79" s="54" t="s">
        <v>605</v>
      </c>
      <c r="F79" s="13" t="s">
        <v>393</v>
      </c>
      <c r="G79" s="15" t="s">
        <v>606</v>
      </c>
      <c r="H79" s="15" t="s">
        <v>607</v>
      </c>
      <c r="I79" s="14" t="s">
        <v>22</v>
      </c>
      <c r="J79" s="15" t="s">
        <v>608</v>
      </c>
      <c r="K79" s="14" t="s">
        <v>22</v>
      </c>
      <c r="L79" s="15" t="s">
        <v>609</v>
      </c>
      <c r="M79" s="15" t="s">
        <v>610</v>
      </c>
      <c r="N79" s="15" t="s">
        <v>611</v>
      </c>
      <c r="O79" s="15" t="s">
        <v>612</v>
      </c>
      <c r="P79" s="15" t="s">
        <v>613</v>
      </c>
    </row>
    <row r="80" customFormat="false" ht="12" hidden="false" customHeight="true" outlineLevel="0" collapsed="false"/>
    <row r="81" customFormat="false" ht="45" hidden="false" customHeight="true" outlineLevel="0" collapsed="false">
      <c r="A81" s="16" t="s">
        <v>614</v>
      </c>
      <c r="B81" s="17" t="s">
        <v>615</v>
      </c>
      <c r="C81" s="18" t="s">
        <v>49</v>
      </c>
      <c r="D81" s="17" t="s">
        <v>20</v>
      </c>
      <c r="E81" s="17"/>
      <c r="F81" s="13"/>
      <c r="G81" s="14" t="s">
        <v>22</v>
      </c>
      <c r="H81" s="14" t="s">
        <v>22</v>
      </c>
      <c r="I81" s="14" t="s">
        <v>22</v>
      </c>
      <c r="J81" s="14" t="s">
        <v>22</v>
      </c>
      <c r="K81" s="14" t="s">
        <v>22</v>
      </c>
      <c r="L81" s="15" t="s">
        <v>616</v>
      </c>
      <c r="M81" s="14" t="s">
        <v>22</v>
      </c>
      <c r="N81" s="14" t="s">
        <v>22</v>
      </c>
      <c r="O81" s="14" t="s">
        <v>22</v>
      </c>
      <c r="P81" s="15" t="s">
        <v>617</v>
      </c>
    </row>
    <row r="82" customFormat="false" ht="15" hidden="false" customHeight="true" outlineLevel="0" collapsed="false">
      <c r="A82" s="57" t="s">
        <v>618</v>
      </c>
      <c r="G82" s="58" t="n">
        <v>31</v>
      </c>
      <c r="H82" s="58" t="n">
        <v>50</v>
      </c>
      <c r="I82" s="58" t="n">
        <v>40</v>
      </c>
      <c r="J82" s="58" t="n">
        <v>27</v>
      </c>
      <c r="K82" s="58" t="n">
        <v>32</v>
      </c>
      <c r="L82" s="58" t="n">
        <v>49</v>
      </c>
      <c r="M82" s="58" t="n">
        <v>38</v>
      </c>
      <c r="N82" s="58" t="n">
        <v>31</v>
      </c>
      <c r="O82" s="58" t="n">
        <v>48</v>
      </c>
      <c r="P82" s="58" t="n">
        <v>48</v>
      </c>
    </row>
    <row r="83" customFormat="false" ht="15" hidden="false" customHeight="true" outlineLevel="0" collapsed="false">
      <c r="A83" s="57" t="s">
        <v>619</v>
      </c>
      <c r="G83" s="59" t="n">
        <v>0</v>
      </c>
      <c r="H83" s="59" t="n">
        <v>0</v>
      </c>
      <c r="I83" s="59" t="n">
        <v>0</v>
      </c>
      <c r="J83" s="59" t="n">
        <v>0</v>
      </c>
      <c r="K83" s="59" t="n">
        <v>0</v>
      </c>
      <c r="L83" s="59" t="n">
        <v>0</v>
      </c>
      <c r="M83" s="59" t="n">
        <v>0</v>
      </c>
      <c r="N83" s="59" t="n">
        <v>0</v>
      </c>
      <c r="O83" s="59" t="n">
        <v>0</v>
      </c>
      <c r="P83" s="59" t="n">
        <v>0</v>
      </c>
    </row>
    <row r="84" customFormat="false" ht="15" hidden="false" customHeight="true" outlineLevel="0" collapsed="false">
      <c r="A84" s="57" t="s">
        <v>620</v>
      </c>
      <c r="G84" s="60" t="n">
        <v>43</v>
      </c>
      <c r="H84" s="60" t="n">
        <v>24</v>
      </c>
      <c r="I84" s="60" t="n">
        <v>34</v>
      </c>
      <c r="J84" s="60" t="n">
        <v>47</v>
      </c>
      <c r="K84" s="60" t="n">
        <v>42</v>
      </c>
      <c r="L84" s="60" t="n">
        <v>25</v>
      </c>
      <c r="M84" s="60" t="n">
        <v>36</v>
      </c>
      <c r="N84" s="60" t="n">
        <v>43</v>
      </c>
      <c r="O84" s="60" t="n">
        <v>26</v>
      </c>
      <c r="P84" s="60" t="n">
        <v>26</v>
      </c>
    </row>
  </sheetData>
  <mergeCells count="6">
    <mergeCell ref="A2:E2"/>
    <mergeCell ref="A13:E13"/>
    <mergeCell ref="A20:E20"/>
    <mergeCell ref="A33:E33"/>
    <mergeCell ref="A57:E57"/>
    <mergeCell ref="A72:E72"/>
  </mergeCells>
  <conditionalFormatting sqref="D75">
    <cfRule type="colorScale" priority="2">
      <colorScale>
        <cfvo type="min" val="0"/>
        <cfvo type="max" val="0"/>
        <color rgb="FFFFFFFF"/>
        <color rgb="FF57BB8A"/>
      </colorScale>
    </cfRule>
  </conditionalFormatting>
  <conditionalFormatting sqref="A72:E72">
    <cfRule type="colorScale" priority="3">
      <colorScale>
        <cfvo type="min" val="0"/>
        <cfvo type="max" val="0"/>
        <color rgb="FFFFFFFF"/>
        <color rgb="FF57BB8A"/>
      </colorScale>
    </cfRule>
  </conditionalFormatting>
  <conditionalFormatting sqref="A13">
    <cfRule type="colorScale" priority="4">
      <colorScale>
        <cfvo type="min" val="0"/>
        <cfvo type="max" val="0"/>
        <color rgb="FFFFFFFF"/>
        <color rgb="FF57BB8A"/>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61" width="10"/>
    <col collapsed="false" customWidth="true" hidden="false" outlineLevel="0" max="2" min="2" style="61" width="45"/>
    <col collapsed="false" customWidth="true" hidden="false" outlineLevel="0" max="3" min="3" style="61" width="20"/>
  </cols>
  <sheetData>
    <row r="1" customFormat="false" ht="15" hidden="false" customHeight="true" outlineLevel="0" collapsed="false">
      <c r="A1" s="62" t="s">
        <v>621</v>
      </c>
      <c r="B1" s="62" t="s">
        <v>622</v>
      </c>
      <c r="C1" s="62" t="s">
        <v>623</v>
      </c>
    </row>
    <row r="2" customFormat="false" ht="15" hidden="false" customHeight="true" outlineLevel="0" collapsed="false">
      <c r="A2" s="63" t="s">
        <v>624</v>
      </c>
      <c r="B2" s="64" t="s">
        <v>625</v>
      </c>
      <c r="C2" s="64" t="s">
        <v>626</v>
      </c>
    </row>
    <row r="3" customFormat="false" ht="15" hidden="false" customHeight="true" outlineLevel="0" collapsed="false">
      <c r="A3" s="65" t="s">
        <v>627</v>
      </c>
      <c r="B3" s="64" t="s">
        <v>628</v>
      </c>
      <c r="C3" s="64" t="s">
        <v>629</v>
      </c>
    </row>
    <row r="4" customFormat="false" ht="15" hidden="false" customHeight="true" outlineLevel="0" collapsed="false">
      <c r="A4" s="66" t="s">
        <v>22</v>
      </c>
      <c r="B4" s="64" t="s">
        <v>630</v>
      </c>
      <c r="C4" s="64" t="s">
        <v>631</v>
      </c>
    </row>
    <row r="5" customFormat="false" ht="15" hidden="false" customHeight="true" outlineLevel="0" collapsed="false">
      <c r="A5" s="67" t="s">
        <v>108</v>
      </c>
      <c r="B5" s="64" t="s">
        <v>632</v>
      </c>
      <c r="C5" s="64" t="s">
        <v>633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2026-04-23T16:59:57Z</dcterms:created>
  <dc:creator>openpyxl</dc:creator>
  <dc:description/>
  <dc:language>en-US</dc:language>
  <cp:lastModifiedBy>Ruolin Deng</cp:lastModifiedBy>
  <dcterms:modified xsi:type="dcterms:W3CDTF">2026-04-28T14:24:38Z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
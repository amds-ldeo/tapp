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ruolin/Downloads/"/>
    </mc:Choice>
  </mc:AlternateContent>
  <xr:revisionPtr revIDLastSave="0" documentId="13_ncr:1_{20778BA2-E415-6C40-87A8-C55029C2BE9E}" xr6:coauthVersionLast="47" xr6:coauthVersionMax="47" xr10:uidLastSave="{00000000-0000-0000-0000-000000000000}"/>
  <bookViews>
    <workbookView xWindow="0" yWindow="740" windowWidth="34560" windowHeight="21600" tabRatio="500" xr2:uid="{00000000-000D-0000-FFFF-FFFF00000000}"/>
  </bookViews>
  <sheets>
    <sheet name="TAPP" sheetId="1" r:id="rId1"/>
    <sheet name="Legend"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75" i="1" l="1"/>
  <c r="Q76" i="1"/>
  <c r="Q77" i="1"/>
  <c r="Q78" i="1"/>
  <c r="Q79" i="1"/>
  <c r="Q74" i="1"/>
  <c r="Q73" i="1"/>
  <c r="Q59" i="1"/>
  <c r="Q60" i="1"/>
  <c r="Q61" i="1"/>
  <c r="Q62" i="1"/>
  <c r="Q63" i="1"/>
  <c r="Q64" i="1"/>
  <c r="Q65" i="1"/>
  <c r="Q66" i="1"/>
  <c r="Q67" i="1"/>
  <c r="Q68" i="1"/>
  <c r="Q69" i="1"/>
  <c r="Q70" i="1"/>
  <c r="Q58" i="1"/>
  <c r="Q35" i="1"/>
  <c r="Q36" i="1"/>
  <c r="Q37" i="1"/>
  <c r="Q38" i="1"/>
  <c r="Q39" i="1"/>
  <c r="Q40" i="1"/>
  <c r="Q41" i="1"/>
  <c r="Q42" i="1"/>
  <c r="Q43" i="1"/>
  <c r="Q44" i="1"/>
  <c r="Q45" i="1"/>
  <c r="Q46" i="1"/>
  <c r="Q47" i="1"/>
  <c r="Q48" i="1"/>
  <c r="Q49" i="1"/>
  <c r="Q50" i="1"/>
  <c r="Q51" i="1"/>
  <c r="Q52" i="1"/>
  <c r="Q53" i="1"/>
  <c r="Q54" i="1"/>
  <c r="Q55" i="1"/>
  <c r="Q34" i="1"/>
  <c r="Q26" i="1"/>
  <c r="Q27" i="1"/>
  <c r="Q28" i="1"/>
  <c r="Q29" i="1"/>
  <c r="Q30" i="1"/>
  <c r="Q31" i="1"/>
  <c r="Q25" i="1"/>
  <c r="Q24" i="1"/>
  <c r="Q23" i="1"/>
  <c r="Q22" i="1"/>
  <c r="Q21" i="1"/>
  <c r="Q15" i="1"/>
  <c r="Q16" i="1"/>
  <c r="Q17" i="1"/>
  <c r="Q18" i="1"/>
  <c r="Q14" i="1"/>
  <c r="Q4" i="1"/>
  <c r="Q5" i="1"/>
  <c r="Q6" i="1"/>
  <c r="Q7" i="1"/>
  <c r="Q8" i="1"/>
  <c r="Q9" i="1"/>
  <c r="Q10" i="1"/>
  <c r="Q11" i="1"/>
  <c r="Q3" i="1"/>
</calcChain>
</file>

<file path=xl/sharedStrings.xml><?xml version="1.0" encoding="utf-8"?>
<sst xmlns="http://schemas.openxmlformats.org/spreadsheetml/2006/main" count="1072" uniqueCount="267">
  <si>
    <t>Metadata Item</t>
  </si>
  <si>
    <t>Description / Purpose</t>
  </si>
  <si>
    <t>Basic/Advanced</t>
  </si>
  <si>
    <t>Data Type</t>
  </si>
  <si>
    <t>Example/Allowed Content</t>
  </si>
  <si>
    <t>Last update: 04/23/2026</t>
  </si>
  <si>
    <t>Zhang et al. 2022
(GCA 323)
Iron meteorites
LA-ICP-MS (raster)</t>
  </si>
  <si>
    <t>Chernonozhkin et al. 2021
(Chem Geol 562)
Pallasite olivine/phosphate
LA-ICP-MS (spot + mapping)</t>
  </si>
  <si>
    <t>Masuda et al. 2024
(M&amp;PS 59)
CAI minerals
fsLA-ICP-MS (imaging)</t>
  </si>
  <si>
    <t>Mittlefehldt 2024
Appendix A
Pallasite olivine/chromite
LA-ICP-MS (spot)</t>
  </si>
  <si>
    <t>Nakanishi et al. 2022
(GCA 319)
CR chondrite metals
fsLA-ICP-MS (spot)</t>
  </si>
  <si>
    <t>Chernonozhkin et al. 2024
(JAAS 39)
Micrometeorites (cosmic spherules)
LA-ICP-ToF-MS (mapping)</t>
  </si>
  <si>
    <t>Liu et al. 2024
(JAAS 39)
Extraterrestrial samples in flux fusion glass
fs-LA-ICP-MS (spot)</t>
  </si>
  <si>
    <t>Liu et al. 2025
(GCA 393)
Experimental glasses &amp; sulfides
LA-ICP-MS (spot)</t>
  </si>
  <si>
    <t>Navarro et al. 2024
(ACS ESC 8)
Iron meteorites
LA-ICP-SFMS (spot + mapping)</t>
  </si>
  <si>
    <t>Zhang et al. 2022
(At. Spectrosc. 43)
Lunar meteorite minerals
LA-MC-ICP-MS (line scan)</t>
  </si>
  <si>
    <t>1. Method Identification</t>
  </si>
  <si>
    <t>Method Name</t>
  </si>
  <si>
    <t>A short descriptive name for this analytical method, with version number. Should include instrument, technique, analyte, and measured chemical variable.</t>
  </si>
  <si>
    <t>Basic</t>
  </si>
  <si>
    <t>Text (free)</t>
  </si>
  <si>
    <t>e.g., 'LA-ICP-MS Trace Elements Glass v1'</t>
  </si>
  <si>
    <t>N</t>
  </si>
  <si>
    <t>Technique</t>
  </si>
  <si>
    <t>Top-level analytical technique identifier.</t>
  </si>
  <si>
    <t>Controlled list</t>
  </si>
  <si>
    <t>LA-ICP-MS | LA-ICP-OES | LA-MC-ICP-MS | Others: specify</t>
  </si>
  <si>
    <t>Y</t>
  </si>
  <si>
    <t>Method Author</t>
  </si>
  <si>
    <t>Author(s) of the method. Can be individual names or lab names.</t>
  </si>
  <si>
    <t>e.g., individual names or lab names</t>
  </si>
  <si>
    <t>Laboratory</t>
  </si>
  <si>
    <t>Name of the laboratory or institution hosting the instrument.</t>
  </si>
  <si>
    <t>e.g., 'Geo-/Cosmochemistry Lab, University of Cologne'</t>
  </si>
  <si>
    <t>Laboratory ID</t>
  </si>
  <si>
    <t>Persistent identifier for the laboratory, e.g., ROR ID.</t>
  </si>
  <si>
    <t>Advanced</t>
  </si>
  <si>
    <t>URI</t>
  </si>
  <si>
    <t>ROR ID or equivalent URI (https://ror.org/)</t>
  </si>
  <si>
    <t>Method Start Date</t>
  </si>
  <si>
    <t>First date this method configuration was used in production.</t>
  </si>
  <si>
    <t>Date</t>
  </si>
  <si>
    <t>YYYY-MM-DD, e.g., 2022-04-22</t>
  </si>
  <si>
    <t>Method DOI</t>
  </si>
  <si>
    <t>DOI or unique persistent identifier for this method, generated after submission to a data repository.</t>
  </si>
  <si>
    <t>URI / DOI</t>
  </si>
  <si>
    <t>e.g., http://doi.org/10.60520/IEDA/114187</t>
  </si>
  <si>
    <t>Funding Source</t>
  </si>
  <si>
    <t>Grants and other funding that supported instrument purchase, major upgrades, and personnel. Include grant IDs where applicable.</t>
  </si>
  <si>
    <t>e.g., 'DFG INST 216/1019-1 FUGG no. 665508'. Can also report "None"</t>
  </si>
  <si>
    <t>Method Reference(s)</t>
  </si>
  <si>
    <t>DOI or URL for publications or reports describing or evaluating this method.</t>
  </si>
  <si>
    <t>e.g., doi:10.1016/j.oregeorev.2011.11.001</t>
  </si>
  <si>
    <t>2. Samples</t>
  </si>
  <si>
    <t>Target Material</t>
  </si>
  <si>
    <t>General description of the material(s) analysed.</t>
  </si>
  <si>
    <t>Controlled list / Text</t>
  </si>
  <si>
    <t>Silicate glass | Feldspar | Pyroxene | Olivine | Oxide | Sulfide | Fluid inclusion | Melt inclusion | Whole rock | Other</t>
  </si>
  <si>
    <t>Sample Form / Analytical Substrate</t>
  </si>
  <si>
    <t>Physical form of the material as it enters the ablation cell. This is a primary method-level discriminator because it controls ablation behaviour, matrix matching, and data reduction strategy.</t>
  </si>
  <si>
    <t>In situ (polished thin section or mount) | Pressed powder pellet | Nano-particulate pressed pellet | Li-borate fused glass | Flux-free fused glass | Natural glass fragment | Other: specify</t>
  </si>
  <si>
    <t>Fusion Flux and Dilution Ratio</t>
  </si>
  <si>
    <t>For methods using fused glass, the flux type and sample:flux dilution ratio used to prepare the analytical glass. Low-dilution fusions improve signal strength but may risk crucible damage.</t>
  </si>
  <si>
    <t>e.g., 'Li-tetraborate, 1:2 (sample:flux)' | 'Li-metaborate/tetraborate 50:50, 1:5' | 'Not applicable (in situ)'</t>
  </si>
  <si>
    <t>N/A</t>
  </si>
  <si>
    <t>Sample Preparation Method</t>
  </si>
  <si>
    <t>Description of how samples were prepared for analysis (mounting, polishing, coating, fusion procedure, etc.).</t>
  </si>
  <si>
    <t>e.g., 'Polished thin section, uncoated' | '25 mm epoxy mount, polished to 0.25 µm diamond' | 'Double-fused Li-tetraborate bead, polished to 1 µm'</t>
  </si>
  <si>
    <t>Pre-Ablation Surface Treatment</t>
  </si>
  <si>
    <t>Protocol applied immediately before each analysis to remove surface contamination or condition the sample surface. Distinct from general sample preparation.</t>
  </si>
  <si>
    <t>e.g., '20 pre-ablation pulses discarded before acquisition' | 'Vacuum desiccation ≥12 h, three He backfill cycles' | 'None'</t>
  </si>
  <si>
    <t>3. Instrument &amp; Software</t>
  </si>
  <si>
    <t>Laser Manufacturer &amp; Model</t>
  </si>
  <si>
    <t>Manufacturer and model of the laser ablation system.</t>
  </si>
  <si>
    <t>e.g., 'ESI imageGEO193' | 'Coherent GeoLas HD' | 'RESOlution M-50' | 'New Wave Research UP-213'</t>
  </si>
  <si>
    <t>ICP-MS Manufacturer &amp; Model</t>
  </si>
  <si>
    <t>Manufacturer and model of the ICP-MS instrument.</t>
  </si>
  <si>
    <t>e.g., 'Thermo Fischer iCAP Q' | 'Agilent 7900' | 'Thermo Element XR' | 'PerkinElmer NexION 2000'</t>
  </si>
  <si>
    <t>ICP-MS Type</t>
  </si>
  <si>
    <t>Type of ICP-MS mass analyser and collector configuration.</t>
  </si>
  <si>
    <t>Single-collector quadrupole (Q-ICP-MS) | Single-collector sector-field (SF-ICP-MS) | Multi-collector sector-field (MC-ICP-MS) | Time-of-flight (TOF-ICP-MS) | Other</t>
  </si>
  <si>
    <t>P</t>
  </si>
  <si>
    <t>Interface Cone Configuration</t>
  </si>
  <si>
    <t>Combination of sample cone and skimmer cone installed during analysis. Cone geometry strongly controls instrument sensitivity and oxide ion formation rates, and should be documented as a primary method parameter.</t>
  </si>
  <si>
    <t>Standard sample cone + H skimmer cone | Standard sample cone + X skimmer cone | Jet sample cone + H skimmer cone | Jet sample cone + X skimmer cone | Other: specify (include material if non-Ni)</t>
  </si>
  <si>
    <t>Guard Electrode</t>
  </si>
  <si>
    <t>Whether the guard electrode (also called extraction lens or Fassel torch shield) was active during analysis. The guard electrode reduces plasma offset, narrows ion energy distribution, and substantially increases sensitivity, particularly for mid- to high-mass elements.</t>
  </si>
  <si>
    <t>On | Off | Not applicable (instrument does not have guard electrode)</t>
  </si>
  <si>
    <t>Mass Resolution Setting</t>
  </si>
  <si>
    <t>Operating mass resolution of the mass analyser. For quadrupole instruments this is fixed at unit resolution by instrument design. For sector-field instruments the analyst selects low, medium, or high resolution to balance sensitivity against spectral interference suppression.</t>
  </si>
  <si>
    <t>Controlled list / Numeric</t>
  </si>
  <si>
    <t>Unit resolution — quadrupole (fixed) | Low resolution — SF (~300 m/Δm) | Medium resolution — SF (~3000 m/Δm) | High resolution — SF (~10000 m/Δm) | Other: specify</t>
  </si>
  <si>
    <t>Detector Configuration</t>
  </si>
  <si>
    <t>Type(s) of detector(s) installed in the mass spectrometer. For single-collector instruments, note whether dual pulse-counting/analog mode is used. For multi-collector instruments, describe the Faraday/multiplier cup layout.</t>
  </si>
  <si>
    <t>e.g., 'Single SEM, dual mode (pulse counting and analog)' | 'Single SEM in triple mode (pulse, analog, Faraday)' | 'Nine Faraday cups + one ion counter (MC)'</t>
  </si>
  <si>
    <t>Laser Wavelength</t>
  </si>
  <si>
    <t>Wavelength of the laser used for ablation in nanometres.</t>
  </si>
  <si>
    <t>Numeric (nm)</t>
  </si>
  <si>
    <t>e.g., 193 (ArF excimer) | 213 (Nd:YAG frequency-quintupled) | 266 | 532</t>
  </si>
  <si>
    <t>Acquisition Software</t>
  </si>
  <si>
    <t>Instrument control and data acquisition software used to collect raw signal data, including version number. Separate from data reduction software.</t>
  </si>
  <si>
    <t>e.g., 'Thermo Qtegra 2.10' | 'Agilent MassHunter 4.6' | 'Thermo PlasmaLab 2.5.4'</t>
  </si>
  <si>
    <t>Data Reduction Software</t>
  </si>
  <si>
    <t>Software used for signal processing, background subtraction, and concentration calculation, including version number.</t>
  </si>
  <si>
    <t>e.g., 'Iolite 4.7' | 'GLITTER 4.4' | 'SILLS 1.1' | 'LAtools' | 'In-house Excel spreadsheet'</t>
  </si>
  <si>
    <t>Ablation Cell Type</t>
  </si>
  <si>
    <t>Type and model of ablation cell used. Two-volume cells substantially reduce washout time and improve signal stability.</t>
  </si>
  <si>
    <t>e.g., 'Two-volume HelEx II' | 'Single-volume standard cell' | 'In-house cell, aerosol dispersion volume &lt;3 cm³'</t>
  </si>
  <si>
    <t>4. Measurement Information</t>
  </si>
  <si>
    <t>Laser Spot Geometry</t>
  </si>
  <si>
    <t>Shape and dimensions of the laser ablation spot: width (and length if non-circular) in micrometres.</t>
  </si>
  <si>
    <t>Numeric + unit (µm)</t>
  </si>
  <si>
    <t>e.g., '15 µm circular' | '20×20 µm square' | '15; 20 µm (multiple sizes used)'</t>
  </si>
  <si>
    <t>Laser Spot Path / Ablation Mode</t>
  </si>
  <si>
    <t>Sampling mode or ablation pattern used during analysis.</t>
  </si>
  <si>
    <t>Spot (stationary) | Transect (line scan) | Raster area | Other</t>
  </si>
  <si>
    <t>Laser Energy</t>
  </si>
  <si>
    <t>Laser pulse energy in millijoules as set at the laser output or measured at the sample.</t>
  </si>
  <si>
    <t>Numeric (mJ)</t>
  </si>
  <si>
    <t>e.g., 0.001 mJ | 3.5 mJ</t>
  </si>
  <si>
    <t>Laser Fluence (Energy Density)</t>
  </si>
  <si>
    <t>Laser pulse energy per unit area at the sample surface in J cm⁻². Fluence is the physically meaningful parameter controlling ablation coupling, particle size distribution, and elemental fractionation. Spot size and laser energy together determine fluence.</t>
  </si>
  <si>
    <t>Numeric (J cm⁻²)</t>
  </si>
  <si>
    <t>e.g., 2–3 J cm⁻² | 8 J cm⁻² | 10 J cm⁻²</t>
  </si>
  <si>
    <t>Laser Repetition Rate</t>
  </si>
  <si>
    <t>Laser pulse repetition rate in hertz.</t>
  </si>
  <si>
    <t>Numeric (Hz)</t>
  </si>
  <si>
    <t>e.g., 5 | 10 | 15 | 20</t>
  </si>
  <si>
    <t>Laser Pulse Duration</t>
  </si>
  <si>
    <t>Duration of each laser pulse, including units. Pulse duration influences the balance of thermal vs. non-thermal ablation mechanisms.</t>
  </si>
  <si>
    <t>Numeric + unit</t>
  </si>
  <si>
    <t>e.g., 7 ns | 20 ns | 5 ns | 25 fs</t>
  </si>
  <si>
    <t>Ablation Duration per Analysis</t>
  </si>
  <si>
    <t>Total on-sample ablation (signal acquisition) time per individual analysis in seconds. Together with background count time, this defines the total analytical cycle time and the depth of ablation per spot.</t>
  </si>
  <si>
    <t>Numeric (s)</t>
  </si>
  <si>
    <t>e.g., 40 s | 60 s | 90 s</t>
  </si>
  <si>
    <t>Transect Rate or Step Size</t>
  </si>
  <si>
    <t>For line scans: continuous drive rate in µm/s; for stepped ablation: step size in µm.</t>
  </si>
  <si>
    <t>e.g., 5 µm/s continuous | 20 µm step | Not applicable (spot mode)</t>
  </si>
  <si>
    <t>Carrier Gas and Flow Rate</t>
  </si>
  <si>
    <t>Gas used to transport ablated aerosol from the ablation cell to the ICP-MS, with flow rate.</t>
  </si>
  <si>
    <t>e.g., 'He, 0.75 l min⁻¹' | 'He, 0.9 l min⁻¹'</t>
  </si>
  <si>
    <t>Plasma / Make-up Gas Addition</t>
  </si>
  <si>
    <t>Additional gas(es) mixed into the carrier or make-up gas flow, including flow rate. Small N₂ additions to Ar-based plasmas can substantially increase sensitivity for certain elements (e.g., mid-mass REEs) and reduce oxide formation.</t>
  </si>
  <si>
    <t>e.g., 'Ar make-up gas, 0.95 l min⁻¹' | 'Ar make-up 0.80 l min⁻¹ + N₂ 2 ml min⁻¹' | 'None'</t>
  </si>
  <si>
    <t>Auxiliary and Cool Gas Flow Rates</t>
  </si>
  <si>
    <t>ICP auxiliary (intermediate) and cool (outer/plasma) gas flow rates in l min⁻¹. These control the thermal characteristics of the plasma.</t>
  </si>
  <si>
    <t>e.g., 'Cool gas: 15 l min⁻¹ Ar; Auxiliary gas: 0.80 l min⁻¹ Ar' | 'Cool: 16 l min⁻¹; Auxiliary: 1.5 l min⁻¹'</t>
  </si>
  <si>
    <t>RF Power</t>
  </si>
  <si>
    <t>ICP radiofrequency forward power in watts.</t>
  </si>
  <si>
    <t>Numeric (W)</t>
  </si>
  <si>
    <t>e.g., 1200 W | 1320 W | 1350 W | 1400 W</t>
  </si>
  <si>
    <t>Signal Smoothing</t>
  </si>
  <si>
    <t>Description of any signal smoothing device or approach used between the ablation cell and the ICP-MS to reduce signal spikiness.</t>
  </si>
  <si>
    <t>e.g., 'Glass smoothing device' | 'Squid 2.0' | 'None'</t>
  </si>
  <si>
    <t>ICP Tuning Procedure</t>
  </si>
  <si>
    <t>Description of the method used to tune ICP plasma conditions prior to analysis, including the material used for tuning.</t>
  </si>
  <si>
    <t>e.g., 'Line scan on NIST SRM 612 using instrument auto-tune; optimized for max sensitivity on La, Th with ThO/Th &lt;0.5%'</t>
  </si>
  <si>
    <t>Oxide Production (ThO/Th)</t>
  </si>
  <si>
    <t>ThO⁺/Th⁺ ratio (mass 248/232) or equivalent oxide proxy used to document plasma oxide production. A key tuning target; typically kept &lt;1% or &lt;0.5% for REE-sensitive applications.</t>
  </si>
  <si>
    <t>Numeric (%)</t>
  </si>
  <si>
    <t>e.g., &lt;0.4% | ca. 0.7% | &lt;1% | &lt;0.2% (for Eu/Eu* measurements)</t>
  </si>
  <si>
    <t>Instrument Warm-up / Session Duration Limit</t>
  </si>
  <si>
    <t>Minimum warm-up time after plasma ignition before analyses begin, and any maximum session duration enforced to maintain stable operating conditions.</t>
  </si>
  <si>
    <t>e.g., '≥30 min warm-up after sample change; sessions ≤8 h after tuning' | '3–4 h warm-up; no session duration limit'</t>
  </si>
  <si>
    <t>Drift Monitor Frequency</t>
  </si>
  <si>
    <t>Frequency at which primary reference materials were analysed to monitor and correct for instrument drift throughout the session.</t>
  </si>
  <si>
    <t>e.g., 'Every 10 unknowns' | 'Start and end of session' | 'Every 15–20 analyses'</t>
  </si>
  <si>
    <t>Analysis Sequence</t>
  </si>
  <si>
    <t>Repeating order of primary calibration standard, quality control standard, and unknown analyses within a measurement session.</t>
  </si>
  <si>
    <t>e.g., '1 primary std / 1 QC / 10 unknowns' | '2/4/15' | 'Calibration at start and end; unknowns in between'</t>
  </si>
  <si>
    <t>Measured Isotope</t>
  </si>
  <si>
    <t>Specific isotope (mass/charge) selected for measurement of each element. Isotope selection is a primary method-level decision that determines which spectral interferences must be considered and corrected for.</t>
  </si>
  <si>
    <t>Numeric (mass)</t>
  </si>
  <si>
    <t>e.g., ²⁹Si, ⁴³Ca, ¹³⁹La, ¹⁵³Eu, ¹⁷²Yb; element specific. Report as integer mass number (e.g., 29, 43, 139)</t>
  </si>
  <si>
    <t>Element specific</t>
  </si>
  <si>
    <t>Spectrometer Dwell Time</t>
  </si>
  <si>
    <t>Count time per mass (dwell time) for each measured isotope in milliseconds or seconds. Longer dwell times improve counting statistics for low-abundance or low-sensitivity isotopes.</t>
  </si>
  <si>
    <t>Numeric (ms or s)</t>
  </si>
  <si>
    <t>e.g., 6 ms (most isotopes); 35 ms (¹⁴⁷Sm, ¹⁵³Eu, ¹⁵⁸Gd for REE work); element specific</t>
  </si>
  <si>
    <t>Analysis Count Time (On-peak)</t>
  </si>
  <si>
    <t>Total integration time per analysis spent on the ablation signal (on-peak) in seconds.</t>
  </si>
  <si>
    <t>e.g., 40 s | 60 s; element specific</t>
  </si>
  <si>
    <t>Background Count Time</t>
  </si>
  <si>
    <t>Total time spent measuring gas blank (background) before each ablation signal in seconds.</t>
  </si>
  <si>
    <t>e.g., 30 s | 40 s; element specific</t>
  </si>
  <si>
    <t>5. Data Processing</t>
  </si>
  <si>
    <t>Internal Standard Approach</t>
  </si>
  <si>
    <t>Method used to determine the internal standard (IS) element concentration for each unknown sample. This is a fundamental data reduction decision that determines whether an independent measurement of the IS element concentration is required.</t>
  </si>
  <si>
    <t>Single element, externally measured (e.g., by EPMA or EDS) | Single element, stoichiometry-derived | Sum-of-major-oxides = 100% normalization (no external measurement required) | Multiple IS elements with weighted-mean sensitivity (requires prior bulk analysis) | Other: specify</t>
  </si>
  <si>
    <t>Internal Standard Element</t>
  </si>
  <si>
    <t>Element(s) used as the internal standard, and how the IS concentration value was determined for unknowns.</t>
  </si>
  <si>
    <t>e.g., 'Si; SiO₂ from EPMA' | 'Ca; individual shard EPMA values' | 'Sum of oxides = 100% (Liu et al. 2008 method)' | 'Si, Ca, Al, Fe, Mg (multiple IS, weighted mean)'</t>
  </si>
  <si>
    <t>Elemental Fractionation Correction</t>
  </si>
  <si>
    <t>Method used to correct for laser-induced elemental fractionation (LIEF) including downhole fractionation, referencing the correction algorithm and the material used.</t>
  </si>
  <si>
    <t>e.g., 'Normalised to NIST SRM 612; no additional downhole correction' | 'Exponential downhole fractionation correction in Iolite using NIST SRM 612' | 'Linear time-drift correction applied per analysis'</t>
  </si>
  <si>
    <t>Matrix Offset Correction (LIEF)</t>
  </si>
  <si>
    <t>Whether an empirical correction was applied to account for systematic differences in laser-induced elemental fractionation (LIEF) patterns between the external calibration standard and the sample matrix. Such offsets arise when the calibration material (e.g., NIST SRM 612 soda-lime glass) ablates differently from natural geological materials.</t>
  </si>
  <si>
    <t>e.g., 'Applied: 6.4% offset in Ca/Si determined by comparison with EPMA (Jenner &amp; O'Neill 2012)' | 'Not applied; Ca used as IS to cancel LIEF offset' | 'Not applicable'</t>
  </si>
  <si>
    <t>Signal Integration Interval Method</t>
  </si>
  <si>
    <t>Approach used to select the stable signal interval for integration during data reduction, and to exclude anomalous signals from inclusions or cracks.</t>
  </si>
  <si>
    <t>Manual visual inspection per analysis | Automated threshold (specify software and threshold) | Fixed time window applied uniformly | Other: specify</t>
  </si>
  <si>
    <t>Spike / Outlier Filtering Approach</t>
  </si>
  <si>
    <t>Method used to identify and remove anomalous signal spikes arising from micronuggets, inclusions, or instrument artifacts during time-resolved signal processing.</t>
  </si>
  <si>
    <t>e.g., 'Significant single spikes visually identified and removed in Iolite' | 'Statistical filter: data points &gt;3σ from running mean removed' | 'No filtering applied' | 'Automated spike detection in SILLS'</t>
  </si>
  <si>
    <t>Blank / Background Correction Method</t>
  </si>
  <si>
    <t>Method used to subtract the gas blank (background signal) from the ablation signal.</t>
  </si>
  <si>
    <t>e.g., 'Mean of 30 s pre-ablation gas blank subtracted per isotope' | 'Background measured before and after each ablation; linear interpolation applied'</t>
  </si>
  <si>
    <t>Pulse/Analog Detector Nonlinearity Correction</t>
  </si>
  <si>
    <t>Whether a correction was applied for nonlinear response at the transition between pulse-counting and analog detector modes. Bias of 3–5% relative can affect elements whose signal intensity crosses the pulse/analog threshold between the standard and the unknown.</t>
  </si>
  <si>
    <t>Not applicable (instrument uses pulse counting only) | Applied: describe method and elements affected | Not applied (crossover threshold not reached for any element) | Not applied (known bias accepted)</t>
  </si>
  <si>
    <t>Isobaric Interference Corrections Applied</t>
  </si>
  <si>
    <t>Whether isobaric interference corrections were applied for this isotope.</t>
  </si>
  <si>
    <t>Boolean</t>
  </si>
  <si>
    <t>Yes | No</t>
  </si>
  <si>
    <t>Interfering Species</t>
  </si>
  <si>
    <t>Elemental or molecular species (oxides, argides, doubly charged ions) overlapping with the measured isotope.</t>
  </si>
  <si>
    <t>e.g., '⁸⁷Rb on ⁸⁷Sr' | '²⁹Si¹⁶O on ⁴⁵Sc' | 'BaO on ¹⁵³Eu' | '⁹⁰Zr¹⁷O and ⁹¹Zr¹⁶O on ¹⁰⁷Ag' | 'None'</t>
  </si>
  <si>
    <t>Interference Correction Method</t>
  </si>
  <si>
    <t>Equation or procedure used to correct for isobaric interferences, including the production rate factor and the reference material used to measure it.</t>
  </si>
  <si>
    <t>e.g., 'Production rate f=0.0128 for ²⁹Si¹⁶O on ⁴⁵Sc, measured on San Carlos olivine vs NIST SRM 610 (Jenner &amp; O'Neill 2012)' | 'BaO/Ba measured on Ba-rich mineral; applied as linear correction'</t>
  </si>
  <si>
    <t>Memory Effect Mitigation</t>
  </si>
  <si>
    <t>Protocol applied to identify and minimise memory effects from high-concentration elements in the previous sample or standard that may contaminate subsequent analyses. Particularly relevant for Se, B, As, Ag, Sb, and P.</t>
  </si>
  <si>
    <t>e.g., 'Extended washout (≥60 s He flush) between analyses for Se and Ag' | 'P and K calibrated against BCR-2G rather than NIST SRM 612 to avoid memory from high NIST P content' | 'Teflon tubing replaced between sessions to eliminate Se memory' | 'No specific protocol'</t>
  </si>
  <si>
    <t>Normalization / Standards-Based Correction</t>
  </si>
  <si>
    <t>Any post-acquisition normalization applied using secondary reference materials.</t>
  </si>
  <si>
    <t>e.g., 'Normalized to NIST SRM 610 measured in same session' | 'None'</t>
  </si>
  <si>
    <t>6. Quality Control &amp; Uncertainty</t>
  </si>
  <si>
    <t>Primary Calibration Standard Name</t>
  </si>
  <si>
    <t>Primary reference material(s) used to calibrate and standardise the instrument. Include material source and DOI or citation for the accepted concentration values used.</t>
  </si>
  <si>
    <t>e.g., 'NIST SRM 612 (Jochum et al. 2011, doi:10.1111/j.1751-908X.2011.00120.x)' | 'USGS BCR-2G (GeoReM preferred values)' | 'ARM-3 (Wu et al. 2019)'</t>
  </si>
  <si>
    <t>Secondary Reference Materials</t>
  </si>
  <si>
    <t>Quality-control reference materials (secondary standards) routinely analysed alongside unknowns in the same session. Include material name and source of accepted values used for comparison.</t>
  </si>
  <si>
    <t>e.g., 'NIST SRM 610, ATHO-G, STHS-G (GeoReM preferred values)' | 'GOR132-G (Jochum et al. 2006)'</t>
  </si>
  <si>
    <t>Typical Detection Limit</t>
  </si>
  <si>
    <t>Method detection limit at 99% confidence (3σ of background counts) for each measured isotope. Report value, units, and calculation method.</t>
  </si>
  <si>
    <t>Numeric (ppm or wt%)</t>
  </si>
  <si>
    <t>e.g., &lt;0.03 ng g⁻¹ for most REEs (3σ background); sample-individual LOD per Pettke et al. 2012</t>
  </si>
  <si>
    <t>Detection Limit Method</t>
  </si>
  <si>
    <t>Reference or description of the method used to calculate detection limits.</t>
  </si>
  <si>
    <t>Text / URI</t>
  </si>
  <si>
    <t>e.g., '3σ of background ion counts (Longerich et al. 1996)' | 'Sample-individual LOD per Pettke et al. (2012), doi:10.1016/j.oregeorev.2011.11.001'</t>
  </si>
  <si>
    <t>Within-Session Analytical Precision</t>
  </si>
  <si>
    <t>Reproducibility of repeated measurements within a single analytical session on the same or equivalent reference material, expressed as 1σ or 2σ relative standard deviation (%). Report n and the material used.</t>
  </si>
  <si>
    <t>e.g., '1.5% RSD (1σ, n=5 per session on NIST SRM 612 for Ba)' | '&lt;3% 2RSD for Eu/Eu* on GOR132-G (n=10)'</t>
  </si>
  <si>
    <t>Between-Session (Long-Term) Analytical Precision</t>
  </si>
  <si>
    <t>Reproducibility of measurements across multiple analytical sessions, expressed as 1σ or 2σ relative standard deviation (%). Long-term precision is typically 2–3× worse than within-session precision and is more representative of overall method reproducibility.</t>
  </si>
  <si>
    <t>e.g., '3% 2RSD across 12 sessions over 8 months on KL-2G for Eu/Eu*' | '2% RSD (1σ, 17 sessions over 3 years for BCR-2G La)'</t>
  </si>
  <si>
    <t>Typical Analytical Accuracy</t>
  </si>
  <si>
    <t>Offset between measured and accepted reference values for secondary standards, expressed as % relative bias.</t>
  </si>
  <si>
    <t>e.g., 'Within 5% of GeoReM preferred values for most REEs on GOR132-G' | '+1.5% relative to GeoReM preferred value for NIST SRM 610 Ba'</t>
  </si>
  <si>
    <t>Additional Notes</t>
  </si>
  <si>
    <t>Any additional context about this method not captured by the structured fields above.</t>
  </si>
  <si>
    <t>Summary: Y count</t>
  </si>
  <si>
    <t>Summary: P count</t>
  </si>
  <si>
    <t>Summary: N count</t>
  </si>
  <si>
    <t>Symbol</t>
  </si>
  <si>
    <t>Meaning</t>
  </si>
  <si>
    <t>Color</t>
  </si>
  <si>
    <t>Reported in paper</t>
  </si>
  <si>
    <t>Green</t>
  </si>
  <si>
    <t>Partially reported or inferred from context</t>
  </si>
  <si>
    <t>Yellow</t>
  </si>
  <si>
    <t>Not reported</t>
  </si>
  <si>
    <t>Red/Pink</t>
  </si>
  <si>
    <t>Not applicable to this method variant</t>
  </si>
  <si>
    <t>Grey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</si>
</sst>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charset val="1"/>
    </font>
    <font>
      <sz val="10"/>
      <name val="Arial"/>
      <family val="2"/>
    </font>
    <font>
      <b/>
      <sz val="11"/>
      <color rgb="FFFFFFFF"/>
      <name val="Arial"/>
      <family val="2"/>
      <charset val="1"/>
    </font>
    <font>
      <sz val="10"/>
      <color rgb="FFFF0000"/>
      <name val="Arial"/>
      <family val="2"/>
      <charset val="1"/>
    </font>
    <font>
      <b/>
      <sz val="9"/>
      <color rgb="FFFFFFFF"/>
      <name val="Arial"/>
      <family val="2"/>
    </font>
    <font>
      <b/>
      <sz val="11"/>
      <color theme="1"/>
      <name val="Arial"/>
      <family val="2"/>
      <charset val="1"/>
    </font>
    <font>
      <b/>
      <sz val="11"/>
      <color rgb="FF000000"/>
      <name val="Arial"/>
      <family val="2"/>
      <charset val="1"/>
    </font>
    <font>
      <sz val="11"/>
      <color rgb="FF000000"/>
      <name val="Arial"/>
      <family val="2"/>
      <charset val="1"/>
    </font>
    <font>
      <b/>
      <sz val="11"/>
      <color rgb="FFC00000"/>
      <name val="Arial"/>
      <family val="2"/>
      <charset val="1"/>
    </font>
    <font>
      <sz val="10"/>
      <color rgb="FF000000"/>
      <name val="Arial"/>
      <family val="2"/>
      <charset val="1"/>
    </font>
    <font>
      <b/>
      <sz val="10"/>
      <color rgb="FF9C0006"/>
      <name val="Arial"/>
      <family val="2"/>
    </font>
    <font>
      <b/>
      <sz val="10"/>
      <color rgb="FF276221"/>
      <name val="Arial"/>
      <family val="2"/>
    </font>
    <font>
      <b/>
      <sz val="11"/>
      <color rgb="FF375623"/>
      <name val="Arial"/>
      <family val="2"/>
      <charset val="1"/>
    </font>
    <font>
      <b/>
      <sz val="11"/>
      <color theme="1"/>
      <name val="Calibri"/>
      <family val="2"/>
      <charset val="1"/>
    </font>
    <font>
      <b/>
      <sz val="10"/>
      <color rgb="FF595959"/>
      <name val="Arial"/>
      <family val="2"/>
    </font>
    <font>
      <b/>
      <sz val="10"/>
      <color rgb="FF7D4C00"/>
      <name val="Arial"/>
      <family val="2"/>
    </font>
    <font>
      <b/>
      <sz val="11"/>
      <color rgb="FF276221"/>
      <name val="Cambria"/>
      <family val="1"/>
    </font>
    <font>
      <b/>
      <sz val="11"/>
      <color rgb="FF000000"/>
      <name val="Calibri"/>
      <family val="2"/>
      <charset val="1"/>
    </font>
    <font>
      <sz val="11"/>
      <color rgb="FF000000"/>
      <name val="Calibri"/>
      <family val="2"/>
      <charset val="1"/>
    </font>
    <font>
      <b/>
      <sz val="10"/>
      <name val="Arial"/>
      <family val="2"/>
    </font>
    <font>
      <sz val="10"/>
      <name val="Arial"/>
      <family val="2"/>
    </font>
    <font>
      <b/>
      <sz val="9"/>
      <name val="Arial"/>
      <family val="2"/>
    </font>
    <font>
      <b/>
      <sz val="9"/>
      <color rgb="FFFFFFFF"/>
      <name val="Arial"/>
      <family val="2"/>
    </font>
    <font>
      <sz val="9"/>
      <name val="Arial"/>
      <family val="2"/>
    </font>
  </fonts>
  <fills count="25">
    <fill>
      <patternFill patternType="none"/>
    </fill>
    <fill>
      <patternFill patternType="gray125"/>
    </fill>
    <fill>
      <patternFill patternType="solid">
        <fgColor rgb="FF1F4E79"/>
        <bgColor rgb="FF003366"/>
      </patternFill>
    </fill>
    <fill>
      <patternFill patternType="solid">
        <fgColor rgb="FF8DB4E2"/>
        <bgColor rgb="FFB3A2C7"/>
      </patternFill>
    </fill>
    <fill>
      <patternFill patternType="solid">
        <fgColor rgb="FF2E75B6"/>
        <bgColor rgb="FF0066CC"/>
      </patternFill>
    </fill>
    <fill>
      <patternFill patternType="solid">
        <fgColor rgb="FFFFCCCC"/>
        <bgColor rgb="FFF2DCDB"/>
      </patternFill>
    </fill>
    <fill>
      <patternFill patternType="solid">
        <fgColor rgb="FFC6EFCE"/>
        <bgColor rgb="FFDCE6F1"/>
      </patternFill>
    </fill>
    <fill>
      <patternFill patternType="solid">
        <fgColor rgb="FFDCE6F1"/>
        <bgColor rgb="FFE6E0EC"/>
      </patternFill>
    </fill>
    <fill>
      <patternFill patternType="solid">
        <fgColor rgb="FFFABF8F"/>
        <bgColor rgb="FFFFCCCC"/>
      </patternFill>
    </fill>
    <fill>
      <patternFill patternType="solid">
        <fgColor theme="9" tint="0.79989013336588644"/>
        <bgColor rgb="FFEBF1DE"/>
      </patternFill>
    </fill>
    <fill>
      <patternFill patternType="solid">
        <fgColor rgb="FFD9D9D9"/>
        <bgColor rgb="FFE6E0EC"/>
      </patternFill>
    </fill>
    <fill>
      <patternFill patternType="solid">
        <fgColor theme="6" tint="0.39988402966399123"/>
        <bgColor rgb="FFBFBFBF"/>
      </patternFill>
    </fill>
    <fill>
      <patternFill patternType="solid">
        <fgColor rgb="FFFFEB9C"/>
        <bgColor rgb="FFFDEADA"/>
      </patternFill>
    </fill>
    <fill>
      <patternFill patternType="solid">
        <fgColor theme="6" tint="0.79989013336588644"/>
        <bgColor rgb="FFF2F2F2"/>
      </patternFill>
    </fill>
    <fill>
      <patternFill patternType="solid">
        <fgColor theme="7" tint="0.39988402966399123"/>
        <bgColor rgb="FFBFBFBF"/>
      </patternFill>
    </fill>
    <fill>
      <patternFill patternType="solid">
        <fgColor theme="7" tint="0.79989013336588644"/>
        <bgColor rgb="FFDCE6F1"/>
      </patternFill>
    </fill>
    <fill>
      <patternFill patternType="solid">
        <fgColor theme="0" tint="-0.249977111117893"/>
        <bgColor rgb="FFC3D69B"/>
      </patternFill>
    </fill>
    <fill>
      <patternFill patternType="solid">
        <fgColor theme="0" tint="-4.9989318521683403E-2"/>
        <bgColor rgb="FFEBF1DE"/>
      </patternFill>
    </fill>
    <fill>
      <patternFill patternType="solid">
        <fgColor rgb="FFDA9694"/>
        <bgColor rgb="FFB3A2C7"/>
      </patternFill>
    </fill>
    <fill>
      <patternFill patternType="solid">
        <fgColor rgb="FFF2DCDB"/>
        <bgColor rgb="FFE6E0EC"/>
      </patternFill>
    </fill>
    <fill>
      <patternFill patternType="solid">
        <fgColor rgb="FF4472C4"/>
      </patternFill>
    </fill>
    <fill>
      <patternFill patternType="solid">
        <fgColor rgb="FFFFC7CE"/>
      </patternFill>
    </fill>
    <fill>
      <patternFill patternType="solid">
        <fgColor rgb="FFC6EFCE"/>
      </patternFill>
    </fill>
    <fill>
      <patternFill patternType="solid">
        <fgColor rgb="FFD9D9D9"/>
      </patternFill>
    </fill>
    <fill>
      <patternFill patternType="solid">
        <fgColor rgb="FFFFEB9C"/>
      </patternFill>
    </fill>
  </fills>
  <borders count="1">
    <border>
      <left/>
      <right/>
      <top/>
      <bottom/>
      <diagonal/>
    </border>
  </borders>
  <cellStyleXfs count="2">
    <xf numFmtId="0" fontId="0" fillId="0" borderId="0"/>
    <xf numFmtId="9" fontId="1" fillId="0" borderId="0"/>
  </cellStyleXfs>
  <cellXfs count="71">
    <xf numFmtId="0" fontId="0" fillId="0" borderId="0" xfId="0"/>
    <xf numFmtId="0" fontId="0" fillId="0" borderId="0" xfId="0" applyAlignment="1">
      <alignment vertical="center"/>
    </xf>
    <xf numFmtId="0" fontId="2" fillId="2" borderId="0" xfId="0" applyFont="1" applyFill="1" applyAlignment="1">
      <alignment horizontal="center" vertical="center" wrapText="1"/>
    </xf>
    <xf numFmtId="0" fontId="3" fillId="0" borderId="0" xfId="0" applyFont="1" applyAlignment="1">
      <alignment horizontal="left" vertical="center" wrapText="1"/>
    </xf>
    <xf numFmtId="0" fontId="4" fillId="2" borderId="0" xfId="0" applyFont="1" applyFill="1" applyAlignment="1">
      <alignment horizontal="center" vertical="top" wrapText="1"/>
    </xf>
    <xf numFmtId="0" fontId="0" fillId="2" borderId="0" xfId="0" applyFill="1" applyAlignment="1">
      <alignment horizontal="left" vertical="center" wrapText="1"/>
    </xf>
    <xf numFmtId="0" fontId="0" fillId="4" borderId="0" xfId="0" applyFill="1" applyAlignment="1">
      <alignment horizontal="left" vertical="center" wrapText="1"/>
    </xf>
    <xf numFmtId="0" fontId="0" fillId="4" borderId="0" xfId="0" applyFill="1"/>
    <xf numFmtId="0" fontId="6" fillId="3" borderId="0" xfId="0" applyFont="1" applyFill="1" applyAlignment="1">
      <alignment horizontal="left" vertical="center" wrapText="1"/>
    </xf>
    <xf numFmtId="0" fontId="7" fillId="3" borderId="0" xfId="0" applyFont="1" applyFill="1" applyAlignment="1">
      <alignment horizontal="left" vertical="center" wrapText="1"/>
    </xf>
    <xf numFmtId="0" fontId="8" fillId="3" borderId="0" xfId="0" applyFont="1" applyFill="1" applyAlignment="1">
      <alignment horizontal="left" vertical="center" wrapText="1"/>
    </xf>
    <xf numFmtId="0" fontId="9" fillId="0" borderId="0" xfId="0" applyFont="1" applyAlignment="1">
      <alignment horizontal="left" vertical="center" wrapText="1"/>
    </xf>
    <xf numFmtId="0" fontId="10" fillId="5" borderId="0" xfId="0" applyFont="1" applyFill="1" applyAlignment="1">
      <alignment horizontal="center" vertical="center"/>
    </xf>
    <xf numFmtId="0" fontId="11" fillId="6" borderId="0" xfId="0" applyFont="1" applyFill="1" applyAlignment="1">
      <alignment horizontal="center" vertical="center"/>
    </xf>
    <xf numFmtId="0" fontId="6" fillId="7" borderId="0" xfId="0" applyFont="1" applyFill="1" applyAlignment="1">
      <alignment horizontal="left" vertical="center" wrapText="1"/>
    </xf>
    <xf numFmtId="0" fontId="7" fillId="7" borderId="0" xfId="0" applyFont="1" applyFill="1" applyAlignment="1">
      <alignment horizontal="left" vertical="center" wrapText="1"/>
    </xf>
    <xf numFmtId="0" fontId="12" fillId="7" borderId="0" xfId="0" applyFont="1" applyFill="1" applyAlignment="1">
      <alignment horizontal="left" vertical="center" wrapText="1"/>
    </xf>
    <xf numFmtId="0" fontId="6" fillId="8" borderId="0" xfId="0" applyFont="1" applyFill="1" applyAlignment="1">
      <alignment horizontal="left" vertical="center" wrapText="1"/>
    </xf>
    <xf numFmtId="0" fontId="7" fillId="8" borderId="0" xfId="0" applyFont="1" applyFill="1" applyAlignment="1">
      <alignment horizontal="left" vertical="center" wrapText="1"/>
    </xf>
    <xf numFmtId="0" fontId="8" fillId="8" borderId="0" xfId="0" applyFont="1" applyFill="1" applyAlignment="1">
      <alignment horizontal="left" vertical="center" wrapText="1"/>
    </xf>
    <xf numFmtId="0" fontId="6" fillId="9" borderId="0" xfId="0" applyFont="1" applyFill="1" applyAlignment="1">
      <alignment horizontal="left" vertical="center" wrapText="1"/>
    </xf>
    <xf numFmtId="0" fontId="7" fillId="9" borderId="0" xfId="0" applyFont="1" applyFill="1" applyAlignment="1">
      <alignment horizontal="left" vertical="center" wrapText="1"/>
    </xf>
    <xf numFmtId="0" fontId="12" fillId="9" borderId="0" xfId="0" applyFont="1" applyFill="1" applyAlignment="1">
      <alignment horizontal="left" vertical="center" wrapText="1"/>
    </xf>
    <xf numFmtId="0" fontId="14" fillId="10" borderId="0" xfId="0" applyFont="1" applyFill="1" applyAlignment="1">
      <alignment horizontal="center" vertical="center"/>
    </xf>
    <xf numFmtId="0" fontId="6" fillId="11" borderId="0" xfId="0" applyFont="1" applyFill="1" applyAlignment="1">
      <alignment horizontal="left" vertical="center" wrapText="1"/>
    </xf>
    <xf numFmtId="0" fontId="7" fillId="11" borderId="0" xfId="0" applyFont="1" applyFill="1" applyAlignment="1">
      <alignment horizontal="left" vertical="center" wrapText="1"/>
    </xf>
    <xf numFmtId="0" fontId="8" fillId="11" borderId="0" xfId="0" applyFont="1" applyFill="1" applyAlignment="1">
      <alignment horizontal="left" vertical="center" wrapText="1"/>
    </xf>
    <xf numFmtId="0" fontId="15" fillId="12" borderId="0" xfId="0" applyFont="1" applyFill="1" applyAlignment="1">
      <alignment horizontal="center" vertical="center"/>
    </xf>
    <xf numFmtId="0" fontId="16" fillId="6" borderId="0" xfId="0" applyFont="1" applyFill="1" applyAlignment="1">
      <alignment horizontal="center" vertical="center"/>
    </xf>
    <xf numFmtId="0" fontId="6" fillId="13" borderId="0" xfId="0" applyFont="1" applyFill="1" applyAlignment="1">
      <alignment horizontal="left" vertical="center" wrapText="1"/>
    </xf>
    <xf numFmtId="0" fontId="7" fillId="13" borderId="0" xfId="0" applyFont="1" applyFill="1" applyAlignment="1">
      <alignment horizontal="left" vertical="center" wrapText="1"/>
    </xf>
    <xf numFmtId="0" fontId="12" fillId="13" borderId="0" xfId="0" applyFont="1" applyFill="1" applyAlignment="1">
      <alignment horizontal="left" vertical="center" wrapText="1"/>
    </xf>
    <xf numFmtId="0" fontId="6" fillId="14" borderId="0" xfId="0" applyFont="1" applyFill="1" applyAlignment="1">
      <alignment horizontal="left" vertical="center" wrapText="1"/>
    </xf>
    <xf numFmtId="0" fontId="7" fillId="14" borderId="0" xfId="0" applyFont="1" applyFill="1" applyAlignment="1">
      <alignment horizontal="left" vertical="center" wrapText="1"/>
    </xf>
    <xf numFmtId="0" fontId="8" fillId="14" borderId="0" xfId="0" applyFont="1" applyFill="1" applyAlignment="1">
      <alignment horizontal="left" vertical="center" wrapText="1"/>
    </xf>
    <xf numFmtId="0" fontId="6" fillId="15" borderId="0" xfId="0" applyFont="1" applyFill="1" applyAlignment="1">
      <alignment horizontal="left" vertical="center" wrapText="1"/>
    </xf>
    <xf numFmtId="0" fontId="7" fillId="15" borderId="0" xfId="0" applyFont="1" applyFill="1" applyAlignment="1">
      <alignment horizontal="left" vertical="center" wrapText="1"/>
    </xf>
    <xf numFmtId="0" fontId="12" fillId="15" borderId="0" xfId="0" applyFont="1" applyFill="1" applyAlignment="1">
      <alignment horizontal="left" vertical="center" wrapText="1"/>
    </xf>
    <xf numFmtId="0" fontId="6" fillId="16" borderId="0" xfId="0" applyFont="1" applyFill="1" applyAlignment="1">
      <alignment horizontal="left" vertical="center" wrapText="1"/>
    </xf>
    <xf numFmtId="0" fontId="7" fillId="16" borderId="0" xfId="0" applyFont="1" applyFill="1" applyAlignment="1">
      <alignment horizontal="left" vertical="center" wrapText="1"/>
    </xf>
    <xf numFmtId="0" fontId="8" fillId="16" borderId="0" xfId="0" applyFont="1" applyFill="1" applyAlignment="1">
      <alignment horizontal="left" vertical="center" wrapText="1"/>
    </xf>
    <xf numFmtId="0" fontId="6" fillId="17" borderId="0" xfId="0" applyFont="1" applyFill="1" applyAlignment="1">
      <alignment horizontal="left" vertical="center" wrapText="1"/>
    </xf>
    <xf numFmtId="0" fontId="7" fillId="17" borderId="0" xfId="0" applyFont="1" applyFill="1" applyAlignment="1">
      <alignment horizontal="left" vertical="center" wrapText="1"/>
    </xf>
    <xf numFmtId="0" fontId="12" fillId="17" borderId="0" xfId="0" applyFont="1" applyFill="1" applyAlignment="1">
      <alignment horizontal="left" vertical="center" wrapText="1"/>
    </xf>
    <xf numFmtId="0" fontId="6" fillId="18" borderId="0" xfId="0" applyFont="1" applyFill="1" applyAlignment="1">
      <alignment horizontal="left" vertical="center" wrapText="1"/>
    </xf>
    <xf numFmtId="0" fontId="7" fillId="18" borderId="0" xfId="0" applyFont="1" applyFill="1" applyAlignment="1">
      <alignment horizontal="left" vertical="center" wrapText="1"/>
    </xf>
    <xf numFmtId="0" fontId="8" fillId="18" borderId="0" xfId="0" applyFont="1" applyFill="1" applyAlignment="1">
      <alignment horizontal="left" vertical="center" wrapText="1"/>
    </xf>
    <xf numFmtId="0" fontId="6" fillId="19" borderId="0" xfId="0" applyFont="1" applyFill="1" applyAlignment="1">
      <alignment horizontal="left" vertical="center" wrapText="1"/>
    </xf>
    <xf numFmtId="0" fontId="7" fillId="19" borderId="0" xfId="0" applyFont="1" applyFill="1" applyAlignment="1">
      <alignment horizontal="left" vertical="center" wrapText="1"/>
    </xf>
    <xf numFmtId="0" fontId="12" fillId="19" borderId="0" xfId="0" applyFont="1" applyFill="1" applyAlignment="1">
      <alignment horizontal="left" vertical="center" wrapText="1"/>
    </xf>
    <xf numFmtId="0" fontId="18" fillId="19" borderId="0" xfId="0" applyFont="1" applyFill="1" applyAlignment="1">
      <alignment horizontal="left" vertical="center" wrapText="1"/>
    </xf>
    <xf numFmtId="0" fontId="19" fillId="0" borderId="0" xfId="0" applyFont="1"/>
    <xf numFmtId="0" fontId="19" fillId="0" borderId="0" xfId="0" applyFont="1" applyAlignment="1">
      <alignment horizontal="center"/>
    </xf>
    <xf numFmtId="0" fontId="19" fillId="0" borderId="0" xfId="0" applyFont="1" applyAlignment="1">
      <alignment horizontal="center" vertical="center"/>
    </xf>
    <xf numFmtId="0" fontId="20" fillId="0" borderId="0" xfId="0" applyFont="1" applyAlignment="1">
      <alignment horizontal="center" vertical="center"/>
    </xf>
    <xf numFmtId="0" fontId="22" fillId="20" borderId="0" xfId="0" applyFont="1" applyFill="1" applyAlignment="1">
      <alignment horizontal="center" vertical="top" wrapText="1"/>
    </xf>
    <xf numFmtId="0" fontId="23" fillId="21" borderId="0" xfId="0" applyFont="1" applyFill="1" applyAlignment="1">
      <alignment horizontal="center" vertical="center"/>
    </xf>
    <xf numFmtId="0" fontId="23" fillId="22" borderId="0" xfId="0" applyFont="1" applyFill="1" applyAlignment="1">
      <alignment horizontal="center" vertical="center"/>
    </xf>
    <xf numFmtId="0" fontId="23" fillId="23" borderId="0" xfId="0" applyFont="1" applyFill="1" applyAlignment="1">
      <alignment horizontal="center" vertical="center"/>
    </xf>
    <xf numFmtId="0" fontId="23" fillId="24" borderId="0" xfId="0" applyFont="1" applyFill="1" applyAlignment="1">
      <alignment horizontal="center" vertical="center"/>
    </xf>
    <xf numFmtId="0" fontId="21" fillId="22" borderId="0" xfId="0" applyFont="1" applyFill="1" applyAlignment="1">
      <alignment horizontal="center" vertical="center"/>
    </xf>
    <xf numFmtId="0" fontId="21" fillId="24" borderId="0" xfId="0" applyFont="1" applyFill="1" applyAlignment="1">
      <alignment horizontal="center" vertical="center"/>
    </xf>
    <xf numFmtId="0" fontId="21" fillId="21" borderId="0" xfId="0" applyFont="1" applyFill="1" applyAlignment="1">
      <alignment horizontal="center" vertical="center"/>
    </xf>
    <xf numFmtId="0" fontId="5" fillId="11" borderId="0" xfId="0" applyFont="1" applyFill="1" applyAlignment="1">
      <alignment horizontal="center" vertical="center" wrapText="1"/>
    </xf>
    <xf numFmtId="0" fontId="0" fillId="0" borderId="0" xfId="0" applyAlignment="1">
      <alignment vertical="center"/>
    </xf>
    <xf numFmtId="0" fontId="5" fillId="16" borderId="0" xfId="0" applyFont="1" applyFill="1" applyAlignment="1">
      <alignment horizontal="center" vertical="center" wrapText="1"/>
    </xf>
    <xf numFmtId="0" fontId="5" fillId="3" borderId="0" xfId="0" applyFont="1" applyFill="1" applyAlignment="1">
      <alignment horizontal="center" vertical="center" wrapText="1"/>
    </xf>
    <xf numFmtId="0" fontId="17" fillId="18" borderId="0" xfId="0" applyFont="1" applyFill="1" applyAlignment="1">
      <alignment horizontal="center" vertical="center" wrapText="1"/>
    </xf>
    <xf numFmtId="0" fontId="5" fillId="14" borderId="0" xfId="0" applyFont="1" applyFill="1" applyAlignment="1">
      <alignment horizontal="center" vertical="center" wrapText="1"/>
    </xf>
    <xf numFmtId="0" fontId="13" fillId="8" borderId="0" xfId="0" applyFont="1" applyFill="1" applyAlignment="1">
      <alignment horizontal="center" vertical="center" wrapText="1"/>
    </xf>
    <xf numFmtId="9" fontId="1" fillId="0" borderId="0" xfId="1"/>
  </cellXfs>
  <cellStyles count="2">
    <cellStyle name="Normal" xfId="0" builtinId="0"/>
    <cellStyle name="Percent" xfId="1" builtinId="5"/>
  </cellStyles>
  <dxfs count="0"/>
  <tableStyles count="0" defaultTableStyle="TableStyleMedium2" defaultPivotStyle="PivotStyleLight16"/>
  <colors>
    <indexedColors>
      <rgbColor rgb="FF000000"/>
      <rgbColor rgb="FFFFFFFF"/>
      <rgbColor rgb="FFFF0000"/>
      <rgbColor rgb="FF00FF00"/>
      <rgbColor rgb="FF0000FF"/>
      <rgbColor rgb="FFFDEADA"/>
      <rgbColor rgb="FFFF00FF"/>
      <rgbColor rgb="FF00FFFF"/>
      <rgbColor rgb="FF9C0006"/>
      <rgbColor rgb="FF276221"/>
      <rgbColor rgb="FF000080"/>
      <rgbColor rgb="FF808000"/>
      <rgbColor rgb="FF800080"/>
      <rgbColor rgb="FF008080"/>
      <rgbColor rgb="FFBFBFBF"/>
      <rgbColor rgb="FF808080"/>
      <rgbColor rgb="FFE6E0EC"/>
      <rgbColor rgb="FF993366"/>
      <rgbColor rgb="FFEBF1DE"/>
      <rgbColor rgb="FFDCE6F1"/>
      <rgbColor rgb="FF660066"/>
      <rgbColor rgb="FFDA9694"/>
      <rgbColor rgb="FF0066CC"/>
      <rgbColor rgb="FFD9D9D9"/>
      <rgbColor rgb="FF000080"/>
      <rgbColor rgb="FFFF00FF"/>
      <rgbColor rgb="FFFFFF00"/>
      <rgbColor rgb="FF00FFFF"/>
      <rgbColor rgb="FF800080"/>
      <rgbColor rgb="FFC00000"/>
      <rgbColor rgb="FF008080"/>
      <rgbColor rgb="FF0000FF"/>
      <rgbColor rgb="FF00CCFF"/>
      <rgbColor rgb="FFF2F2F2"/>
      <rgbColor rgb="FFC6EFCE"/>
      <rgbColor rgb="FFFFEB9C"/>
      <rgbColor rgb="FF8DB4E2"/>
      <rgbColor rgb="FFFFCCCC"/>
      <rgbColor rgb="FFB3A2C7"/>
      <rgbColor rgb="FFFABF8F"/>
      <rgbColor rgb="FF2E75B6"/>
      <rgbColor rgb="FF33CCCC"/>
      <rgbColor rgb="FF99CC00"/>
      <rgbColor rgb="FFF2DCDB"/>
      <rgbColor rgb="FFFF9900"/>
      <rgbColor rgb="FFFF6600"/>
      <rgbColor rgb="FF595959"/>
      <rgbColor rgb="FFC3D69B"/>
      <rgbColor rgb="FF003366"/>
      <rgbColor rgb="FF339966"/>
      <rgbColor rgb="FF003300"/>
      <rgbColor rgb="FF333300"/>
      <rgbColor rgb="FF7D4C00"/>
      <rgbColor rgb="FF993366"/>
      <rgbColor rgb="FF1F4E79"/>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84"/>
  <sheetViews>
    <sheetView tabSelected="1" zoomScale="69" zoomScaleNormal="134" workbookViewId="0">
      <pane ySplit="1" topLeftCell="A12" activePane="bottomLeft" state="frozen"/>
      <selection pane="bottomLeft" activeCell="I6" sqref="I6"/>
    </sheetView>
  </sheetViews>
  <sheetFormatPr baseColWidth="10" defaultColWidth="14" defaultRowHeight="15" x14ac:dyDescent="0.2"/>
  <cols>
    <col min="1" max="1" width="30" style="1" customWidth="1"/>
    <col min="2" max="2" width="52" style="1" customWidth="1"/>
    <col min="3" max="3" width="14.5" style="1" customWidth="1"/>
    <col min="4" max="4" width="22" style="1" customWidth="1"/>
    <col min="5" max="5" width="49.33203125" style="1" customWidth="1"/>
    <col min="6" max="6" width="18" style="1" customWidth="1"/>
    <col min="7" max="7" width="14" style="1" customWidth="1"/>
    <col min="8" max="11" width="14" style="1"/>
    <col min="12" max="16" width="16" customWidth="1"/>
    <col min="17" max="16384" width="14" style="1"/>
  </cols>
  <sheetData>
    <row r="1" spans="1:17" ht="79.5" customHeight="1" x14ac:dyDescent="0.2">
      <c r="A1" s="2" t="s">
        <v>0</v>
      </c>
      <c r="B1" s="2" t="s">
        <v>1</v>
      </c>
      <c r="C1" s="2" t="s">
        <v>2</v>
      </c>
      <c r="D1" s="2" t="s">
        <v>3</v>
      </c>
      <c r="E1" s="2" t="s">
        <v>4</v>
      </c>
      <c r="F1" s="3" t="s">
        <v>5</v>
      </c>
      <c r="G1" s="4" t="s">
        <v>6</v>
      </c>
      <c r="H1" s="4" t="s">
        <v>7</v>
      </c>
      <c r="I1" s="4" t="s">
        <v>8</v>
      </c>
      <c r="J1" s="4" t="s">
        <v>9</v>
      </c>
      <c r="K1" s="4" t="s">
        <v>10</v>
      </c>
      <c r="L1" s="55" t="s">
        <v>11</v>
      </c>
      <c r="M1" s="55" t="s">
        <v>12</v>
      </c>
      <c r="N1" s="55" t="s">
        <v>13</v>
      </c>
      <c r="O1" s="55" t="s">
        <v>14</v>
      </c>
      <c r="P1" s="55" t="s">
        <v>15</v>
      </c>
    </row>
    <row r="2" spans="1:17" ht="45" customHeight="1" x14ac:dyDescent="0.2">
      <c r="A2" s="66" t="s">
        <v>16</v>
      </c>
      <c r="B2" s="64"/>
      <c r="C2" s="64"/>
      <c r="D2" s="64"/>
      <c r="E2" s="64"/>
      <c r="F2" s="5"/>
      <c r="G2" s="6"/>
      <c r="H2" s="7"/>
      <c r="I2" s="7"/>
      <c r="J2" s="7"/>
      <c r="K2" s="7"/>
    </row>
    <row r="3" spans="1:17" ht="45" customHeight="1" x14ac:dyDescent="0.15">
      <c r="A3" s="8" t="s">
        <v>17</v>
      </c>
      <c r="B3" s="9" t="s">
        <v>18</v>
      </c>
      <c r="C3" s="10" t="s">
        <v>19</v>
      </c>
      <c r="D3" s="9" t="s">
        <v>20</v>
      </c>
      <c r="E3" s="9" t="s">
        <v>21</v>
      </c>
      <c r="F3" s="11"/>
      <c r="G3" s="12" t="s">
        <v>22</v>
      </c>
      <c r="H3" s="12" t="s">
        <v>22</v>
      </c>
      <c r="I3" s="12" t="s">
        <v>22</v>
      </c>
      <c r="J3" s="12" t="s">
        <v>22</v>
      </c>
      <c r="K3" s="12" t="s">
        <v>22</v>
      </c>
      <c r="L3" s="56" t="s">
        <v>22</v>
      </c>
      <c r="M3" s="56" t="s">
        <v>22</v>
      </c>
      <c r="N3" s="56" t="s">
        <v>22</v>
      </c>
      <c r="O3" s="56" t="s">
        <v>22</v>
      </c>
      <c r="P3" s="56" t="s">
        <v>22</v>
      </c>
      <c r="Q3" s="70">
        <f>COUNTIF(G3:P3,"Y")/10</f>
        <v>0</v>
      </c>
    </row>
    <row r="4" spans="1:17" ht="45" customHeight="1" x14ac:dyDescent="0.15">
      <c r="A4" s="8" t="s">
        <v>23</v>
      </c>
      <c r="B4" s="9" t="s">
        <v>24</v>
      </c>
      <c r="C4" s="10" t="s">
        <v>19</v>
      </c>
      <c r="D4" s="9" t="s">
        <v>25</v>
      </c>
      <c r="E4" s="9" t="s">
        <v>26</v>
      </c>
      <c r="F4" s="11"/>
      <c r="G4" s="13" t="s">
        <v>27</v>
      </c>
      <c r="H4" s="13" t="s">
        <v>27</v>
      </c>
      <c r="I4" s="13" t="s">
        <v>27</v>
      </c>
      <c r="J4" s="13" t="s">
        <v>27</v>
      </c>
      <c r="K4" s="13" t="s">
        <v>27</v>
      </c>
      <c r="L4" s="57" t="s">
        <v>27</v>
      </c>
      <c r="M4" s="57" t="s">
        <v>27</v>
      </c>
      <c r="N4" s="57" t="s">
        <v>27</v>
      </c>
      <c r="O4" s="57" t="s">
        <v>27</v>
      </c>
      <c r="P4" s="57" t="s">
        <v>27</v>
      </c>
      <c r="Q4" s="70">
        <f t="shared" ref="Q4:Q11" si="0">COUNTIF(G4:P4,"Y")/10</f>
        <v>1</v>
      </c>
    </row>
    <row r="5" spans="1:17" ht="45" customHeight="1" x14ac:dyDescent="0.15">
      <c r="A5" s="8" t="s">
        <v>28</v>
      </c>
      <c r="B5" s="9" t="s">
        <v>29</v>
      </c>
      <c r="C5" s="10" t="s">
        <v>19</v>
      </c>
      <c r="D5" s="9" t="s">
        <v>20</v>
      </c>
      <c r="E5" s="9" t="s">
        <v>30</v>
      </c>
      <c r="F5" s="11"/>
      <c r="G5" s="12" t="s">
        <v>22</v>
      </c>
      <c r="H5" s="12" t="s">
        <v>22</v>
      </c>
      <c r="I5" s="12" t="s">
        <v>22</v>
      </c>
      <c r="J5" s="12" t="s">
        <v>22</v>
      </c>
      <c r="K5" s="12" t="s">
        <v>22</v>
      </c>
      <c r="L5" s="56" t="s">
        <v>22</v>
      </c>
      <c r="M5" s="56" t="s">
        <v>22</v>
      </c>
      <c r="N5" s="56" t="s">
        <v>22</v>
      </c>
      <c r="O5" s="56" t="s">
        <v>22</v>
      </c>
      <c r="P5" s="56" t="s">
        <v>22</v>
      </c>
      <c r="Q5" s="70">
        <f t="shared" si="0"/>
        <v>0</v>
      </c>
    </row>
    <row r="6" spans="1:17" ht="45" customHeight="1" x14ac:dyDescent="0.15">
      <c r="A6" s="8" t="s">
        <v>31</v>
      </c>
      <c r="B6" s="9" t="s">
        <v>32</v>
      </c>
      <c r="C6" s="10" t="s">
        <v>19</v>
      </c>
      <c r="D6" s="9" t="s">
        <v>20</v>
      </c>
      <c r="E6" s="9" t="s">
        <v>33</v>
      </c>
      <c r="F6" s="11"/>
      <c r="G6" s="13" t="s">
        <v>27</v>
      </c>
      <c r="H6" s="13" t="s">
        <v>27</v>
      </c>
      <c r="I6" s="13" t="s">
        <v>27</v>
      </c>
      <c r="J6" s="13" t="s">
        <v>27</v>
      </c>
      <c r="K6" s="13" t="s">
        <v>27</v>
      </c>
      <c r="L6" s="57" t="s">
        <v>27</v>
      </c>
      <c r="M6" s="57" t="s">
        <v>27</v>
      </c>
      <c r="N6" s="57" t="s">
        <v>27</v>
      </c>
      <c r="O6" s="57" t="s">
        <v>27</v>
      </c>
      <c r="P6" s="57" t="s">
        <v>27</v>
      </c>
      <c r="Q6" s="70">
        <f t="shared" si="0"/>
        <v>1</v>
      </c>
    </row>
    <row r="7" spans="1:17" ht="45" customHeight="1" x14ac:dyDescent="0.15">
      <c r="A7" s="14" t="s">
        <v>34</v>
      </c>
      <c r="B7" s="15" t="s">
        <v>35</v>
      </c>
      <c r="C7" s="16" t="s">
        <v>36</v>
      </c>
      <c r="D7" s="15" t="s">
        <v>37</v>
      </c>
      <c r="E7" s="15" t="s">
        <v>38</v>
      </c>
      <c r="F7" s="11"/>
      <c r="G7" s="12" t="s">
        <v>22</v>
      </c>
      <c r="H7" s="12" t="s">
        <v>22</v>
      </c>
      <c r="I7" s="12" t="s">
        <v>22</v>
      </c>
      <c r="J7" s="12" t="s">
        <v>22</v>
      </c>
      <c r="K7" s="12" t="s">
        <v>22</v>
      </c>
      <c r="L7" s="56" t="s">
        <v>22</v>
      </c>
      <c r="M7" s="56" t="s">
        <v>22</v>
      </c>
      <c r="N7" s="56" t="s">
        <v>22</v>
      </c>
      <c r="O7" s="56" t="s">
        <v>22</v>
      </c>
      <c r="P7" s="56" t="s">
        <v>22</v>
      </c>
      <c r="Q7" s="70">
        <f t="shared" si="0"/>
        <v>0</v>
      </c>
    </row>
    <row r="8" spans="1:17" ht="45" customHeight="1" x14ac:dyDescent="0.15">
      <c r="A8" s="8" t="s">
        <v>39</v>
      </c>
      <c r="B8" s="9" t="s">
        <v>40</v>
      </c>
      <c r="C8" s="10" t="s">
        <v>19</v>
      </c>
      <c r="D8" s="9" t="s">
        <v>41</v>
      </c>
      <c r="E8" s="9" t="s">
        <v>42</v>
      </c>
      <c r="F8" s="11"/>
      <c r="G8" s="12" t="s">
        <v>22</v>
      </c>
      <c r="H8" s="12" t="s">
        <v>22</v>
      </c>
      <c r="I8" s="12" t="s">
        <v>22</v>
      </c>
      <c r="J8" s="12" t="s">
        <v>22</v>
      </c>
      <c r="K8" s="12" t="s">
        <v>22</v>
      </c>
      <c r="L8" s="56" t="s">
        <v>22</v>
      </c>
      <c r="M8" s="56" t="s">
        <v>22</v>
      </c>
      <c r="N8" s="56" t="s">
        <v>22</v>
      </c>
      <c r="O8" s="56" t="s">
        <v>22</v>
      </c>
      <c r="P8" s="56" t="s">
        <v>22</v>
      </c>
      <c r="Q8" s="70">
        <f t="shared" si="0"/>
        <v>0</v>
      </c>
    </row>
    <row r="9" spans="1:17" ht="45" customHeight="1" x14ac:dyDescent="0.15">
      <c r="A9" s="14" t="s">
        <v>43</v>
      </c>
      <c r="B9" s="15" t="s">
        <v>44</v>
      </c>
      <c r="C9" s="16" t="s">
        <v>36</v>
      </c>
      <c r="D9" s="15" t="s">
        <v>45</v>
      </c>
      <c r="E9" s="15" t="s">
        <v>46</v>
      </c>
      <c r="F9" s="11"/>
      <c r="G9" s="12" t="s">
        <v>22</v>
      </c>
      <c r="H9" s="12" t="s">
        <v>22</v>
      </c>
      <c r="I9" s="12" t="s">
        <v>22</v>
      </c>
      <c r="J9" s="12" t="s">
        <v>22</v>
      </c>
      <c r="K9" s="12" t="s">
        <v>22</v>
      </c>
      <c r="L9" s="56" t="s">
        <v>22</v>
      </c>
      <c r="M9" s="56" t="s">
        <v>22</v>
      </c>
      <c r="N9" s="56" t="s">
        <v>22</v>
      </c>
      <c r="O9" s="56" t="s">
        <v>22</v>
      </c>
      <c r="P9" s="56" t="s">
        <v>22</v>
      </c>
      <c r="Q9" s="70">
        <f t="shared" si="0"/>
        <v>0</v>
      </c>
    </row>
    <row r="10" spans="1:17" ht="45" customHeight="1" x14ac:dyDescent="0.15">
      <c r="A10" s="14" t="s">
        <v>47</v>
      </c>
      <c r="B10" s="15" t="s">
        <v>48</v>
      </c>
      <c r="C10" s="16" t="s">
        <v>36</v>
      </c>
      <c r="D10" s="15" t="s">
        <v>20</v>
      </c>
      <c r="E10" s="15" t="s">
        <v>49</v>
      </c>
      <c r="F10" s="11"/>
      <c r="G10" s="13" t="s">
        <v>27</v>
      </c>
      <c r="H10" s="12" t="s">
        <v>22</v>
      </c>
      <c r="I10" s="13" t="s">
        <v>27</v>
      </c>
      <c r="J10" s="12" t="s">
        <v>22</v>
      </c>
      <c r="K10" s="13" t="s">
        <v>27</v>
      </c>
      <c r="L10" s="57" t="s">
        <v>27</v>
      </c>
      <c r="M10" s="57" t="s">
        <v>27</v>
      </c>
      <c r="N10" s="57" t="s">
        <v>27</v>
      </c>
      <c r="O10" s="56" t="s">
        <v>22</v>
      </c>
      <c r="P10" s="57" t="s">
        <v>27</v>
      </c>
      <c r="Q10" s="70">
        <f t="shared" si="0"/>
        <v>0.7</v>
      </c>
    </row>
    <row r="11" spans="1:17" ht="45" customHeight="1" x14ac:dyDescent="0.15">
      <c r="A11" s="14" t="s">
        <v>50</v>
      </c>
      <c r="B11" s="15" t="s">
        <v>51</v>
      </c>
      <c r="C11" s="16" t="s">
        <v>36</v>
      </c>
      <c r="D11" s="15" t="s">
        <v>45</v>
      </c>
      <c r="E11" s="15" t="s">
        <v>52</v>
      </c>
      <c r="F11" s="11"/>
      <c r="G11" s="13" t="s">
        <v>27</v>
      </c>
      <c r="H11" s="13" t="s">
        <v>27</v>
      </c>
      <c r="I11" s="12" t="s">
        <v>22</v>
      </c>
      <c r="J11" s="12" t="s">
        <v>22</v>
      </c>
      <c r="K11" s="12" t="s">
        <v>22</v>
      </c>
      <c r="L11" s="57" t="s">
        <v>27</v>
      </c>
      <c r="M11" s="56" t="s">
        <v>22</v>
      </c>
      <c r="N11" s="56" t="s">
        <v>22</v>
      </c>
      <c r="O11" s="56" t="s">
        <v>22</v>
      </c>
      <c r="P11" s="56" t="s">
        <v>22</v>
      </c>
      <c r="Q11" s="70">
        <f t="shared" si="0"/>
        <v>0.3</v>
      </c>
    </row>
    <row r="12" spans="1:17" ht="12" customHeight="1" x14ac:dyDescent="0.2"/>
    <row r="13" spans="1:17" ht="45" customHeight="1" x14ac:dyDescent="0.2">
      <c r="A13" s="69" t="s">
        <v>53</v>
      </c>
      <c r="B13" s="64"/>
      <c r="C13" s="64"/>
      <c r="D13" s="64"/>
      <c r="E13" s="64"/>
      <c r="F13" s="5"/>
      <c r="G13" s="6"/>
      <c r="H13" s="7"/>
      <c r="I13" s="7"/>
      <c r="J13" s="7"/>
      <c r="K13" s="7"/>
    </row>
    <row r="14" spans="1:17" ht="45" customHeight="1" x14ac:dyDescent="0.15">
      <c r="A14" s="17" t="s">
        <v>54</v>
      </c>
      <c r="B14" s="18" t="s">
        <v>55</v>
      </c>
      <c r="C14" s="19" t="s">
        <v>19</v>
      </c>
      <c r="D14" s="18" t="s">
        <v>56</v>
      </c>
      <c r="E14" s="18" t="s">
        <v>57</v>
      </c>
      <c r="F14" s="11"/>
      <c r="G14" s="13" t="s">
        <v>27</v>
      </c>
      <c r="H14" s="13" t="s">
        <v>27</v>
      </c>
      <c r="I14" s="13" t="s">
        <v>27</v>
      </c>
      <c r="J14" s="13" t="s">
        <v>27</v>
      </c>
      <c r="K14" s="13" t="s">
        <v>27</v>
      </c>
      <c r="L14" s="57" t="s">
        <v>27</v>
      </c>
      <c r="M14" s="57" t="s">
        <v>27</v>
      </c>
      <c r="N14" s="57" t="s">
        <v>27</v>
      </c>
      <c r="O14" s="57" t="s">
        <v>27</v>
      </c>
      <c r="P14" s="57" t="s">
        <v>27</v>
      </c>
      <c r="Q14" s="70">
        <f t="shared" ref="Q14:Q18" si="1">COUNTIF(G14:P14,"Y")/10</f>
        <v>1</v>
      </c>
    </row>
    <row r="15" spans="1:17" ht="45" customHeight="1" x14ac:dyDescent="0.15">
      <c r="A15" s="17" t="s">
        <v>58</v>
      </c>
      <c r="B15" s="18" t="s">
        <v>59</v>
      </c>
      <c r="C15" s="19" t="s">
        <v>19</v>
      </c>
      <c r="D15" s="18" t="s">
        <v>25</v>
      </c>
      <c r="E15" s="18" t="s">
        <v>60</v>
      </c>
      <c r="F15" s="11"/>
      <c r="G15" s="13" t="s">
        <v>27</v>
      </c>
      <c r="H15" s="13" t="s">
        <v>27</v>
      </c>
      <c r="I15" s="13" t="s">
        <v>27</v>
      </c>
      <c r="J15" s="13" t="s">
        <v>27</v>
      </c>
      <c r="K15" s="13" t="s">
        <v>27</v>
      </c>
      <c r="L15" s="57" t="s">
        <v>27</v>
      </c>
      <c r="M15" s="57" t="s">
        <v>27</v>
      </c>
      <c r="N15" s="57" t="s">
        <v>27</v>
      </c>
      <c r="O15" s="57" t="s">
        <v>27</v>
      </c>
      <c r="P15" s="57" t="s">
        <v>27</v>
      </c>
      <c r="Q15" s="70">
        <f t="shared" si="1"/>
        <v>1</v>
      </c>
    </row>
    <row r="16" spans="1:17" ht="45" customHeight="1" x14ac:dyDescent="0.15">
      <c r="A16" s="20" t="s">
        <v>61</v>
      </c>
      <c r="B16" s="21" t="s">
        <v>62</v>
      </c>
      <c r="C16" s="22" t="s">
        <v>36</v>
      </c>
      <c r="D16" s="21" t="s">
        <v>20</v>
      </c>
      <c r="E16" s="21" t="s">
        <v>63</v>
      </c>
      <c r="F16" s="11"/>
      <c r="G16" s="23" t="s">
        <v>64</v>
      </c>
      <c r="H16" s="23" t="s">
        <v>64</v>
      </c>
      <c r="I16" s="23" t="s">
        <v>64</v>
      </c>
      <c r="J16" s="23" t="s">
        <v>64</v>
      </c>
      <c r="K16" s="23" t="s">
        <v>64</v>
      </c>
      <c r="L16" s="58" t="s">
        <v>64</v>
      </c>
      <c r="M16" s="57" t="s">
        <v>27</v>
      </c>
      <c r="N16" s="58" t="s">
        <v>64</v>
      </c>
      <c r="O16" s="58" t="s">
        <v>64</v>
      </c>
      <c r="P16" s="58" t="s">
        <v>64</v>
      </c>
      <c r="Q16" s="70">
        <f t="shared" si="1"/>
        <v>0.1</v>
      </c>
    </row>
    <row r="17" spans="1:17" ht="45" customHeight="1" x14ac:dyDescent="0.15">
      <c r="A17" s="20" t="s">
        <v>65</v>
      </c>
      <c r="B17" s="21" t="s">
        <v>66</v>
      </c>
      <c r="C17" s="22" t="s">
        <v>36</v>
      </c>
      <c r="D17" s="21" t="s">
        <v>20</v>
      </c>
      <c r="E17" s="21" t="s">
        <v>67</v>
      </c>
      <c r="F17" s="11"/>
      <c r="G17" s="13" t="s">
        <v>27</v>
      </c>
      <c r="H17" s="13" t="s">
        <v>27</v>
      </c>
      <c r="I17" s="13" t="s">
        <v>27</v>
      </c>
      <c r="J17" s="13" t="s">
        <v>27</v>
      </c>
      <c r="K17" s="13" t="s">
        <v>27</v>
      </c>
      <c r="L17" s="57" t="s">
        <v>27</v>
      </c>
      <c r="M17" s="57" t="s">
        <v>27</v>
      </c>
      <c r="N17" s="57" t="s">
        <v>27</v>
      </c>
      <c r="O17" s="57" t="s">
        <v>27</v>
      </c>
      <c r="P17" s="57" t="s">
        <v>27</v>
      </c>
      <c r="Q17" s="70">
        <f t="shared" si="1"/>
        <v>1</v>
      </c>
    </row>
    <row r="18" spans="1:17" ht="45" customHeight="1" x14ac:dyDescent="0.15">
      <c r="A18" s="20" t="s">
        <v>68</v>
      </c>
      <c r="B18" s="21" t="s">
        <v>69</v>
      </c>
      <c r="C18" s="22" t="s">
        <v>36</v>
      </c>
      <c r="D18" s="21" t="s">
        <v>20</v>
      </c>
      <c r="E18" s="21" t="s">
        <v>70</v>
      </c>
      <c r="F18" s="11"/>
      <c r="G18" s="12" t="s">
        <v>22</v>
      </c>
      <c r="H18" s="13" t="s">
        <v>27</v>
      </c>
      <c r="I18" s="12" t="s">
        <v>22</v>
      </c>
      <c r="J18" s="13" t="s">
        <v>27</v>
      </c>
      <c r="K18" s="12" t="s">
        <v>22</v>
      </c>
      <c r="L18" s="56" t="s">
        <v>22</v>
      </c>
      <c r="M18" s="56" t="s">
        <v>22</v>
      </c>
      <c r="N18" s="56" t="s">
        <v>22</v>
      </c>
      <c r="O18" s="56" t="s">
        <v>22</v>
      </c>
      <c r="P18" s="56" t="s">
        <v>22</v>
      </c>
      <c r="Q18" s="70">
        <f t="shared" si="1"/>
        <v>0.2</v>
      </c>
    </row>
    <row r="19" spans="1:17" ht="12" customHeight="1" x14ac:dyDescent="0.2"/>
    <row r="20" spans="1:17" ht="45" customHeight="1" x14ac:dyDescent="0.2">
      <c r="A20" s="63" t="s">
        <v>71</v>
      </c>
      <c r="B20" s="64"/>
      <c r="C20" s="64"/>
      <c r="D20" s="64"/>
      <c r="E20" s="64"/>
      <c r="F20" s="5"/>
      <c r="G20" s="6"/>
      <c r="H20" s="7"/>
      <c r="I20" s="7"/>
      <c r="J20" s="7"/>
      <c r="K20" s="7"/>
    </row>
    <row r="21" spans="1:17" ht="45" customHeight="1" x14ac:dyDescent="0.15">
      <c r="A21" s="24" t="s">
        <v>72</v>
      </c>
      <c r="B21" s="25" t="s">
        <v>73</v>
      </c>
      <c r="C21" s="26" t="s">
        <v>19</v>
      </c>
      <c r="D21" s="25" t="s">
        <v>20</v>
      </c>
      <c r="E21" s="25" t="s">
        <v>74</v>
      </c>
      <c r="F21" s="11"/>
      <c r="G21" s="13" t="s">
        <v>27</v>
      </c>
      <c r="H21" s="13" t="s">
        <v>27</v>
      </c>
      <c r="I21" s="13" t="s">
        <v>27</v>
      </c>
      <c r="J21" s="13" t="s">
        <v>27</v>
      </c>
      <c r="K21" s="13" t="s">
        <v>27</v>
      </c>
      <c r="L21" s="57" t="s">
        <v>27</v>
      </c>
      <c r="M21" s="57" t="s">
        <v>27</v>
      </c>
      <c r="N21" s="57" t="s">
        <v>27</v>
      </c>
      <c r="O21" s="57" t="s">
        <v>27</v>
      </c>
      <c r="P21" s="57" t="s">
        <v>27</v>
      </c>
      <c r="Q21" s="70">
        <f t="shared" ref="Q21:Q31" si="2">COUNTIF(G21:P21,"Y")/10</f>
        <v>1</v>
      </c>
    </row>
    <row r="22" spans="1:17" ht="45" customHeight="1" x14ac:dyDescent="0.15">
      <c r="A22" s="24" t="s">
        <v>75</v>
      </c>
      <c r="B22" s="25" t="s">
        <v>76</v>
      </c>
      <c r="C22" s="26" t="s">
        <v>19</v>
      </c>
      <c r="D22" s="25" t="s">
        <v>20</v>
      </c>
      <c r="E22" s="25" t="s">
        <v>77</v>
      </c>
      <c r="F22" s="11"/>
      <c r="G22" s="13" t="s">
        <v>27</v>
      </c>
      <c r="H22" s="13" t="s">
        <v>27</v>
      </c>
      <c r="I22" s="13" t="s">
        <v>27</v>
      </c>
      <c r="J22" s="13" t="s">
        <v>27</v>
      </c>
      <c r="K22" s="13" t="s">
        <v>27</v>
      </c>
      <c r="L22" s="57" t="s">
        <v>27</v>
      </c>
      <c r="M22" s="57" t="s">
        <v>27</v>
      </c>
      <c r="N22" s="57" t="s">
        <v>27</v>
      </c>
      <c r="O22" s="57" t="s">
        <v>27</v>
      </c>
      <c r="P22" s="57" t="s">
        <v>27</v>
      </c>
      <c r="Q22" s="70">
        <f t="shared" si="2"/>
        <v>1</v>
      </c>
    </row>
    <row r="23" spans="1:17" ht="45" customHeight="1" x14ac:dyDescent="0.15">
      <c r="A23" s="24" t="s">
        <v>78</v>
      </c>
      <c r="B23" s="25" t="s">
        <v>79</v>
      </c>
      <c r="C23" s="26" t="s">
        <v>19</v>
      </c>
      <c r="D23" s="25" t="s">
        <v>25</v>
      </c>
      <c r="E23" s="25" t="s">
        <v>80</v>
      </c>
      <c r="F23" s="11"/>
      <c r="G23" s="27" t="s">
        <v>81</v>
      </c>
      <c r="H23" s="13" t="s">
        <v>27</v>
      </c>
      <c r="I23" s="13" t="s">
        <v>27</v>
      </c>
      <c r="J23" s="13" t="s">
        <v>27</v>
      </c>
      <c r="K23" s="13" t="s">
        <v>27</v>
      </c>
      <c r="L23" s="57" t="s">
        <v>27</v>
      </c>
      <c r="M23" s="57" t="s">
        <v>27</v>
      </c>
      <c r="N23" s="57" t="s">
        <v>27</v>
      </c>
      <c r="O23" s="57" t="s">
        <v>27</v>
      </c>
      <c r="P23" s="57" t="s">
        <v>27</v>
      </c>
      <c r="Q23" s="70">
        <f t="shared" si="2"/>
        <v>0.9</v>
      </c>
    </row>
    <row r="24" spans="1:17" ht="45" customHeight="1" x14ac:dyDescent="0.15">
      <c r="A24" s="24" t="s">
        <v>82</v>
      </c>
      <c r="B24" s="25" t="s">
        <v>83</v>
      </c>
      <c r="C24" s="26" t="s">
        <v>19</v>
      </c>
      <c r="D24" s="25" t="s">
        <v>56</v>
      </c>
      <c r="E24" s="25" t="s">
        <v>84</v>
      </c>
      <c r="F24" s="11"/>
      <c r="G24" s="12" t="s">
        <v>22</v>
      </c>
      <c r="H24" s="28" t="s">
        <v>27</v>
      </c>
      <c r="I24" s="12" t="s">
        <v>22</v>
      </c>
      <c r="J24" s="12" t="s">
        <v>22</v>
      </c>
      <c r="K24" s="13" t="s">
        <v>27</v>
      </c>
      <c r="L24" s="56" t="s">
        <v>22</v>
      </c>
      <c r="M24" s="56" t="s">
        <v>22</v>
      </c>
      <c r="N24" s="56" t="s">
        <v>22</v>
      </c>
      <c r="O24" s="56" t="s">
        <v>22</v>
      </c>
      <c r="P24" s="57" t="s">
        <v>27</v>
      </c>
      <c r="Q24" s="70">
        <f t="shared" si="2"/>
        <v>0.3</v>
      </c>
    </row>
    <row r="25" spans="1:17" ht="45" customHeight="1" x14ac:dyDescent="0.15">
      <c r="A25" s="24" t="s">
        <v>85</v>
      </c>
      <c r="B25" s="25" t="s">
        <v>86</v>
      </c>
      <c r="C25" s="26" t="s">
        <v>19</v>
      </c>
      <c r="D25" s="25" t="s">
        <v>25</v>
      </c>
      <c r="E25" s="25" t="s">
        <v>87</v>
      </c>
      <c r="F25" s="11"/>
      <c r="G25" s="12" t="s">
        <v>22</v>
      </c>
      <c r="H25" s="12" t="s">
        <v>22</v>
      </c>
      <c r="I25" s="12" t="s">
        <v>22</v>
      </c>
      <c r="J25" s="12" t="s">
        <v>22</v>
      </c>
      <c r="K25" s="12" t="s">
        <v>22</v>
      </c>
      <c r="L25" s="56" t="s">
        <v>22</v>
      </c>
      <c r="M25" s="56" t="s">
        <v>22</v>
      </c>
      <c r="N25" s="56" t="s">
        <v>22</v>
      </c>
      <c r="O25" s="57" t="s">
        <v>27</v>
      </c>
      <c r="P25" s="56" t="s">
        <v>22</v>
      </c>
      <c r="Q25" s="70">
        <f t="shared" si="2"/>
        <v>0.1</v>
      </c>
    </row>
    <row r="26" spans="1:17" ht="45" customHeight="1" x14ac:dyDescent="0.15">
      <c r="A26" s="24" t="s">
        <v>88</v>
      </c>
      <c r="B26" s="25" t="s">
        <v>89</v>
      </c>
      <c r="C26" s="26" t="s">
        <v>19</v>
      </c>
      <c r="D26" s="25" t="s">
        <v>90</v>
      </c>
      <c r="E26" s="25" t="s">
        <v>91</v>
      </c>
      <c r="F26" s="11"/>
      <c r="G26" s="13" t="s">
        <v>27</v>
      </c>
      <c r="H26" s="13" t="s">
        <v>27</v>
      </c>
      <c r="I26" s="12" t="s">
        <v>22</v>
      </c>
      <c r="J26" s="13" t="s">
        <v>27</v>
      </c>
      <c r="K26" s="12" t="s">
        <v>22</v>
      </c>
      <c r="L26" s="56" t="s">
        <v>22</v>
      </c>
      <c r="M26" s="56" t="s">
        <v>22</v>
      </c>
      <c r="N26" s="56" t="s">
        <v>22</v>
      </c>
      <c r="O26" s="57" t="s">
        <v>27</v>
      </c>
      <c r="P26" s="57" t="s">
        <v>27</v>
      </c>
      <c r="Q26" s="70">
        <f t="shared" si="2"/>
        <v>0.5</v>
      </c>
    </row>
    <row r="27" spans="1:17" ht="45" customHeight="1" x14ac:dyDescent="0.15">
      <c r="A27" s="24" t="s">
        <v>92</v>
      </c>
      <c r="B27" s="25" t="s">
        <v>93</v>
      </c>
      <c r="C27" s="26" t="s">
        <v>19</v>
      </c>
      <c r="D27" s="25" t="s">
        <v>20</v>
      </c>
      <c r="E27" s="25" t="s">
        <v>94</v>
      </c>
      <c r="F27" s="11"/>
      <c r="G27" s="13" t="s">
        <v>27</v>
      </c>
      <c r="H27" s="28" t="s">
        <v>27</v>
      </c>
      <c r="I27" s="13" t="s">
        <v>27</v>
      </c>
      <c r="J27" s="12" t="s">
        <v>22</v>
      </c>
      <c r="K27" s="12" t="s">
        <v>22</v>
      </c>
      <c r="L27" s="57" t="s">
        <v>27</v>
      </c>
      <c r="M27" s="56" t="s">
        <v>22</v>
      </c>
      <c r="N27" s="56" t="s">
        <v>22</v>
      </c>
      <c r="O27" s="57" t="s">
        <v>27</v>
      </c>
      <c r="P27" s="57" t="s">
        <v>27</v>
      </c>
      <c r="Q27" s="70">
        <f t="shared" si="2"/>
        <v>0.6</v>
      </c>
    </row>
    <row r="28" spans="1:17" ht="45" customHeight="1" x14ac:dyDescent="0.15">
      <c r="A28" s="24" t="s">
        <v>95</v>
      </c>
      <c r="B28" s="25" t="s">
        <v>96</v>
      </c>
      <c r="C28" s="26" t="s">
        <v>19</v>
      </c>
      <c r="D28" s="25" t="s">
        <v>97</v>
      </c>
      <c r="E28" s="25" t="s">
        <v>98</v>
      </c>
      <c r="F28" s="11"/>
      <c r="G28" s="13" t="s">
        <v>27</v>
      </c>
      <c r="H28" s="13" t="s">
        <v>27</v>
      </c>
      <c r="I28" s="13" t="s">
        <v>27</v>
      </c>
      <c r="J28" s="13" t="s">
        <v>27</v>
      </c>
      <c r="K28" s="13" t="s">
        <v>27</v>
      </c>
      <c r="L28" s="57" t="s">
        <v>27</v>
      </c>
      <c r="M28" s="57" t="s">
        <v>27</v>
      </c>
      <c r="N28" s="57" t="s">
        <v>27</v>
      </c>
      <c r="O28" s="57" t="s">
        <v>27</v>
      </c>
      <c r="P28" s="57" t="s">
        <v>27</v>
      </c>
      <c r="Q28" s="70">
        <f t="shared" si="2"/>
        <v>1</v>
      </c>
    </row>
    <row r="29" spans="1:17" ht="45" customHeight="1" x14ac:dyDescent="0.15">
      <c r="A29" s="24" t="s">
        <v>99</v>
      </c>
      <c r="B29" s="25" t="s">
        <v>100</v>
      </c>
      <c r="C29" s="26" t="s">
        <v>19</v>
      </c>
      <c r="D29" s="25" t="s">
        <v>20</v>
      </c>
      <c r="E29" s="25" t="s">
        <v>101</v>
      </c>
      <c r="F29" s="11"/>
      <c r="G29" s="12" t="s">
        <v>22</v>
      </c>
      <c r="H29" s="12" t="s">
        <v>22</v>
      </c>
      <c r="I29" s="12" t="s">
        <v>22</v>
      </c>
      <c r="J29" s="12" t="s">
        <v>22</v>
      </c>
      <c r="K29" s="12" t="s">
        <v>22</v>
      </c>
      <c r="L29" s="59" t="s">
        <v>81</v>
      </c>
      <c r="M29" s="56" t="s">
        <v>22</v>
      </c>
      <c r="N29" s="56" t="s">
        <v>22</v>
      </c>
      <c r="O29" s="56" t="s">
        <v>22</v>
      </c>
      <c r="P29" s="56" t="s">
        <v>22</v>
      </c>
      <c r="Q29" s="70">
        <f t="shared" si="2"/>
        <v>0</v>
      </c>
    </row>
    <row r="30" spans="1:17" ht="45" customHeight="1" x14ac:dyDescent="0.15">
      <c r="A30" s="24" t="s">
        <v>102</v>
      </c>
      <c r="B30" s="25" t="s">
        <v>103</v>
      </c>
      <c r="C30" s="26" t="s">
        <v>19</v>
      </c>
      <c r="D30" s="25" t="s">
        <v>20</v>
      </c>
      <c r="E30" s="25" t="s">
        <v>104</v>
      </c>
      <c r="F30" s="11"/>
      <c r="G30" s="12" t="s">
        <v>22</v>
      </c>
      <c r="H30" s="27" t="s">
        <v>81</v>
      </c>
      <c r="I30" s="13" t="s">
        <v>27</v>
      </c>
      <c r="J30" s="27" t="s">
        <v>81</v>
      </c>
      <c r="K30" s="12" t="s">
        <v>22</v>
      </c>
      <c r="L30" s="57" t="s">
        <v>27</v>
      </c>
      <c r="M30" s="57" t="s">
        <v>27</v>
      </c>
      <c r="N30" s="56" t="s">
        <v>22</v>
      </c>
      <c r="O30" s="57" t="s">
        <v>27</v>
      </c>
      <c r="P30" s="57" t="s">
        <v>27</v>
      </c>
      <c r="Q30" s="70">
        <f t="shared" si="2"/>
        <v>0.5</v>
      </c>
    </row>
    <row r="31" spans="1:17" ht="45" customHeight="1" x14ac:dyDescent="0.15">
      <c r="A31" s="29" t="s">
        <v>105</v>
      </c>
      <c r="B31" s="30" t="s">
        <v>106</v>
      </c>
      <c r="C31" s="31" t="s">
        <v>36</v>
      </c>
      <c r="D31" s="30" t="s">
        <v>20</v>
      </c>
      <c r="E31" s="30" t="s">
        <v>107</v>
      </c>
      <c r="F31" s="11"/>
      <c r="G31" s="12" t="s">
        <v>22</v>
      </c>
      <c r="H31" s="13" t="s">
        <v>27</v>
      </c>
      <c r="I31" s="12" t="s">
        <v>22</v>
      </c>
      <c r="J31" s="12" t="s">
        <v>22</v>
      </c>
      <c r="K31" s="12" t="s">
        <v>22</v>
      </c>
      <c r="L31" s="57" t="s">
        <v>27</v>
      </c>
      <c r="M31" s="56" t="s">
        <v>22</v>
      </c>
      <c r="N31" s="56" t="s">
        <v>22</v>
      </c>
      <c r="O31" s="57" t="s">
        <v>27</v>
      </c>
      <c r="P31" s="56" t="s">
        <v>22</v>
      </c>
      <c r="Q31" s="70">
        <f t="shared" si="2"/>
        <v>0.3</v>
      </c>
    </row>
    <row r="32" spans="1:17" ht="12" customHeight="1" x14ac:dyDescent="0.2"/>
    <row r="33" spans="1:17" ht="45" customHeight="1" x14ac:dyDescent="0.2">
      <c r="A33" s="68" t="s">
        <v>108</v>
      </c>
      <c r="B33" s="64"/>
      <c r="C33" s="64"/>
      <c r="D33" s="64"/>
      <c r="E33" s="64"/>
      <c r="F33" s="5"/>
      <c r="G33" s="6"/>
      <c r="H33" s="7"/>
      <c r="I33" s="7"/>
      <c r="J33" s="7"/>
      <c r="K33" s="7"/>
    </row>
    <row r="34" spans="1:17" ht="45" customHeight="1" x14ac:dyDescent="0.15">
      <c r="A34" s="32" t="s">
        <v>109</v>
      </c>
      <c r="B34" s="33" t="s">
        <v>110</v>
      </c>
      <c r="C34" s="34" t="s">
        <v>19</v>
      </c>
      <c r="D34" s="33" t="s">
        <v>111</v>
      </c>
      <c r="E34" s="33" t="s">
        <v>112</v>
      </c>
      <c r="F34" s="11"/>
      <c r="G34" s="13" t="s">
        <v>27</v>
      </c>
      <c r="H34" s="13" t="s">
        <v>27</v>
      </c>
      <c r="I34" s="13" t="s">
        <v>27</v>
      </c>
      <c r="J34" s="13" t="s">
        <v>27</v>
      </c>
      <c r="K34" s="13" t="s">
        <v>27</v>
      </c>
      <c r="L34" s="57" t="s">
        <v>27</v>
      </c>
      <c r="M34" s="57" t="s">
        <v>27</v>
      </c>
      <c r="N34" s="57" t="s">
        <v>27</v>
      </c>
      <c r="O34" s="57" t="s">
        <v>27</v>
      </c>
      <c r="P34" s="57" t="s">
        <v>27</v>
      </c>
      <c r="Q34" s="70">
        <f t="shared" ref="Q34:Q55" si="3">COUNTIF(G34:P34,"Y")/10</f>
        <v>1</v>
      </c>
    </row>
    <row r="35" spans="1:17" ht="45" customHeight="1" x14ac:dyDescent="0.15">
      <c r="A35" s="32" t="s">
        <v>113</v>
      </c>
      <c r="B35" s="33" t="s">
        <v>114</v>
      </c>
      <c r="C35" s="34" t="s">
        <v>19</v>
      </c>
      <c r="D35" s="33" t="s">
        <v>25</v>
      </c>
      <c r="E35" s="33" t="s">
        <v>115</v>
      </c>
      <c r="F35" s="11"/>
      <c r="G35" s="13" t="s">
        <v>27</v>
      </c>
      <c r="H35" s="13" t="s">
        <v>27</v>
      </c>
      <c r="I35" s="13" t="s">
        <v>27</v>
      </c>
      <c r="J35" s="13" t="s">
        <v>27</v>
      </c>
      <c r="K35" s="13" t="s">
        <v>27</v>
      </c>
      <c r="L35" s="57" t="s">
        <v>27</v>
      </c>
      <c r="M35" s="57" t="s">
        <v>27</v>
      </c>
      <c r="N35" s="57" t="s">
        <v>27</v>
      </c>
      <c r="O35" s="57" t="s">
        <v>27</v>
      </c>
      <c r="P35" s="57" t="s">
        <v>27</v>
      </c>
      <c r="Q35" s="70">
        <f t="shared" si="3"/>
        <v>1</v>
      </c>
    </row>
    <row r="36" spans="1:17" ht="45" customHeight="1" x14ac:dyDescent="0.15">
      <c r="A36" s="32" t="s">
        <v>116</v>
      </c>
      <c r="B36" s="33" t="s">
        <v>117</v>
      </c>
      <c r="C36" s="34" t="s">
        <v>19</v>
      </c>
      <c r="D36" s="33" t="s">
        <v>118</v>
      </c>
      <c r="E36" s="33" t="s">
        <v>119</v>
      </c>
      <c r="F36" s="11"/>
      <c r="G36" s="12" t="s">
        <v>22</v>
      </c>
      <c r="H36" s="12" t="s">
        <v>22</v>
      </c>
      <c r="I36" s="12" t="s">
        <v>22</v>
      </c>
      <c r="J36" s="12" t="s">
        <v>22</v>
      </c>
      <c r="K36" s="12" t="s">
        <v>22</v>
      </c>
      <c r="L36" s="56" t="s">
        <v>22</v>
      </c>
      <c r="M36" s="56" t="s">
        <v>22</v>
      </c>
      <c r="N36" s="56" t="s">
        <v>22</v>
      </c>
      <c r="O36" s="56" t="s">
        <v>22</v>
      </c>
      <c r="P36" s="56" t="s">
        <v>22</v>
      </c>
      <c r="Q36" s="70">
        <f t="shared" si="3"/>
        <v>0</v>
      </c>
    </row>
    <row r="37" spans="1:17" ht="45" customHeight="1" x14ac:dyDescent="0.15">
      <c r="A37" s="32" t="s">
        <v>120</v>
      </c>
      <c r="B37" s="33" t="s">
        <v>121</v>
      </c>
      <c r="C37" s="34" t="s">
        <v>19</v>
      </c>
      <c r="D37" s="33" t="s">
        <v>122</v>
      </c>
      <c r="E37" s="33" t="s">
        <v>123</v>
      </c>
      <c r="F37" s="11"/>
      <c r="G37" s="12" t="s">
        <v>22</v>
      </c>
      <c r="H37" s="13" t="s">
        <v>27</v>
      </c>
      <c r="I37" s="13" t="s">
        <v>27</v>
      </c>
      <c r="J37" s="12" t="s">
        <v>22</v>
      </c>
      <c r="K37" s="13" t="s">
        <v>27</v>
      </c>
      <c r="L37" s="57" t="s">
        <v>27</v>
      </c>
      <c r="M37" s="57" t="s">
        <v>27</v>
      </c>
      <c r="N37" s="57" t="s">
        <v>27</v>
      </c>
      <c r="O37" s="57" t="s">
        <v>27</v>
      </c>
      <c r="P37" s="57" t="s">
        <v>27</v>
      </c>
      <c r="Q37" s="70">
        <f t="shared" si="3"/>
        <v>0.8</v>
      </c>
    </row>
    <row r="38" spans="1:17" ht="45" customHeight="1" x14ac:dyDescent="0.15">
      <c r="A38" s="32" t="s">
        <v>124</v>
      </c>
      <c r="B38" s="33" t="s">
        <v>125</v>
      </c>
      <c r="C38" s="34" t="s">
        <v>19</v>
      </c>
      <c r="D38" s="33" t="s">
        <v>126</v>
      </c>
      <c r="E38" s="33" t="s">
        <v>127</v>
      </c>
      <c r="F38" s="11"/>
      <c r="G38" s="13" t="s">
        <v>27</v>
      </c>
      <c r="H38" s="13" t="s">
        <v>27</v>
      </c>
      <c r="I38" s="13" t="s">
        <v>27</v>
      </c>
      <c r="J38" s="12" t="s">
        <v>22</v>
      </c>
      <c r="K38" s="13" t="s">
        <v>27</v>
      </c>
      <c r="L38" s="57" t="s">
        <v>27</v>
      </c>
      <c r="M38" s="57" t="s">
        <v>27</v>
      </c>
      <c r="N38" s="57" t="s">
        <v>27</v>
      </c>
      <c r="O38" s="57" t="s">
        <v>27</v>
      </c>
      <c r="P38" s="57" t="s">
        <v>27</v>
      </c>
      <c r="Q38" s="70">
        <f t="shared" si="3"/>
        <v>0.9</v>
      </c>
    </row>
    <row r="39" spans="1:17" ht="45" customHeight="1" x14ac:dyDescent="0.15">
      <c r="A39" s="35" t="s">
        <v>128</v>
      </c>
      <c r="B39" s="36" t="s">
        <v>129</v>
      </c>
      <c r="C39" s="37" t="s">
        <v>36</v>
      </c>
      <c r="D39" s="36" t="s">
        <v>130</v>
      </c>
      <c r="E39" s="36" t="s">
        <v>131</v>
      </c>
      <c r="F39" s="11"/>
      <c r="G39" s="12" t="s">
        <v>22</v>
      </c>
      <c r="H39" s="28" t="s">
        <v>27</v>
      </c>
      <c r="I39" s="13" t="s">
        <v>27</v>
      </c>
      <c r="J39" s="12" t="s">
        <v>22</v>
      </c>
      <c r="K39" s="13" t="s">
        <v>27</v>
      </c>
      <c r="L39" s="56" t="s">
        <v>22</v>
      </c>
      <c r="M39" s="57" t="s">
        <v>27</v>
      </c>
      <c r="N39" s="56" t="s">
        <v>22</v>
      </c>
      <c r="O39" s="56" t="s">
        <v>22</v>
      </c>
      <c r="P39" s="57" t="s">
        <v>27</v>
      </c>
      <c r="Q39" s="70">
        <f t="shared" si="3"/>
        <v>0.5</v>
      </c>
    </row>
    <row r="40" spans="1:17" ht="45" customHeight="1" x14ac:dyDescent="0.15">
      <c r="A40" s="32" t="s">
        <v>132</v>
      </c>
      <c r="B40" s="33" t="s">
        <v>133</v>
      </c>
      <c r="C40" s="34" t="s">
        <v>19</v>
      </c>
      <c r="D40" s="33" t="s">
        <v>134</v>
      </c>
      <c r="E40" s="33" t="s">
        <v>135</v>
      </c>
      <c r="F40" s="11"/>
      <c r="G40" s="12" t="s">
        <v>22</v>
      </c>
      <c r="H40" s="28" t="s">
        <v>27</v>
      </c>
      <c r="I40" s="27" t="s">
        <v>81</v>
      </c>
      <c r="J40" s="12" t="s">
        <v>22</v>
      </c>
      <c r="K40" s="12" t="s">
        <v>22</v>
      </c>
      <c r="L40" s="57" t="s">
        <v>27</v>
      </c>
      <c r="M40" s="57" t="s">
        <v>27</v>
      </c>
      <c r="N40" s="57" t="s">
        <v>27</v>
      </c>
      <c r="O40" s="57" t="s">
        <v>27</v>
      </c>
      <c r="P40" s="57" t="s">
        <v>27</v>
      </c>
      <c r="Q40" s="70">
        <f t="shared" si="3"/>
        <v>0.6</v>
      </c>
    </row>
    <row r="41" spans="1:17" ht="45" customHeight="1" x14ac:dyDescent="0.15">
      <c r="A41" s="35" t="s">
        <v>136</v>
      </c>
      <c r="B41" s="36" t="s">
        <v>137</v>
      </c>
      <c r="C41" s="37" t="s">
        <v>36</v>
      </c>
      <c r="D41" s="36" t="s">
        <v>20</v>
      </c>
      <c r="E41" s="36" t="s">
        <v>138</v>
      </c>
      <c r="F41" s="11"/>
      <c r="G41" s="13" t="s">
        <v>27</v>
      </c>
      <c r="H41" s="13" t="s">
        <v>27</v>
      </c>
      <c r="I41" s="13" t="s">
        <v>27</v>
      </c>
      <c r="J41" s="12" t="s">
        <v>22</v>
      </c>
      <c r="K41" s="12" t="s">
        <v>22</v>
      </c>
      <c r="L41" s="57" t="s">
        <v>27</v>
      </c>
      <c r="M41" s="58" t="s">
        <v>64</v>
      </c>
      <c r="N41" s="58" t="s">
        <v>64</v>
      </c>
      <c r="O41" s="57" t="s">
        <v>27</v>
      </c>
      <c r="P41" s="57" t="s">
        <v>27</v>
      </c>
      <c r="Q41" s="70">
        <f t="shared" si="3"/>
        <v>0.6</v>
      </c>
    </row>
    <row r="42" spans="1:17" ht="45" customHeight="1" x14ac:dyDescent="0.15">
      <c r="A42" s="32" t="s">
        <v>139</v>
      </c>
      <c r="B42" s="33" t="s">
        <v>140</v>
      </c>
      <c r="C42" s="34" t="s">
        <v>19</v>
      </c>
      <c r="D42" s="33" t="s">
        <v>20</v>
      </c>
      <c r="E42" s="33" t="s">
        <v>141</v>
      </c>
      <c r="F42" s="11"/>
      <c r="G42" s="12" t="s">
        <v>22</v>
      </c>
      <c r="H42" s="13" t="s">
        <v>27</v>
      </c>
      <c r="I42" s="13" t="s">
        <v>27</v>
      </c>
      <c r="J42" s="12" t="s">
        <v>22</v>
      </c>
      <c r="K42" s="12" t="s">
        <v>22</v>
      </c>
      <c r="L42" s="57" t="s">
        <v>27</v>
      </c>
      <c r="M42" s="57" t="s">
        <v>27</v>
      </c>
      <c r="N42" s="57" t="s">
        <v>27</v>
      </c>
      <c r="O42" s="57" t="s">
        <v>27</v>
      </c>
      <c r="P42" s="57" t="s">
        <v>27</v>
      </c>
      <c r="Q42" s="70">
        <f t="shared" si="3"/>
        <v>0.7</v>
      </c>
    </row>
    <row r="43" spans="1:17" ht="45" customHeight="1" x14ac:dyDescent="0.15">
      <c r="A43" s="35" t="s">
        <v>142</v>
      </c>
      <c r="B43" s="36" t="s">
        <v>143</v>
      </c>
      <c r="C43" s="37" t="s">
        <v>36</v>
      </c>
      <c r="D43" s="36" t="s">
        <v>20</v>
      </c>
      <c r="E43" s="36" t="s">
        <v>144</v>
      </c>
      <c r="F43" s="11"/>
      <c r="G43" s="12" t="s">
        <v>22</v>
      </c>
      <c r="H43" s="13" t="s">
        <v>27</v>
      </c>
      <c r="I43" s="13" t="s">
        <v>27</v>
      </c>
      <c r="J43" s="13" t="s">
        <v>27</v>
      </c>
      <c r="K43" s="13" t="s">
        <v>27</v>
      </c>
      <c r="L43" s="56" t="s">
        <v>22</v>
      </c>
      <c r="M43" s="56" t="s">
        <v>22</v>
      </c>
      <c r="N43" s="57" t="s">
        <v>27</v>
      </c>
      <c r="O43" s="57" t="s">
        <v>27</v>
      </c>
      <c r="P43" s="57" t="s">
        <v>27</v>
      </c>
      <c r="Q43" s="70">
        <f t="shared" si="3"/>
        <v>0.7</v>
      </c>
    </row>
    <row r="44" spans="1:17" ht="45" customHeight="1" x14ac:dyDescent="0.15">
      <c r="A44" s="35" t="s">
        <v>145</v>
      </c>
      <c r="B44" s="36" t="s">
        <v>146</v>
      </c>
      <c r="C44" s="37" t="s">
        <v>36</v>
      </c>
      <c r="D44" s="36" t="s">
        <v>20</v>
      </c>
      <c r="E44" s="36" t="s">
        <v>147</v>
      </c>
      <c r="F44" s="11"/>
      <c r="G44" s="12" t="s">
        <v>22</v>
      </c>
      <c r="H44" s="28" t="s">
        <v>27</v>
      </c>
      <c r="I44" s="12" t="s">
        <v>22</v>
      </c>
      <c r="J44" s="13" t="s">
        <v>27</v>
      </c>
      <c r="K44" s="13" t="s">
        <v>27</v>
      </c>
      <c r="L44" s="56" t="s">
        <v>22</v>
      </c>
      <c r="M44" s="56" t="s">
        <v>22</v>
      </c>
      <c r="N44" s="56" t="s">
        <v>22</v>
      </c>
      <c r="O44" s="56" t="s">
        <v>22</v>
      </c>
      <c r="P44" s="57" t="s">
        <v>27</v>
      </c>
      <c r="Q44" s="70">
        <f t="shared" si="3"/>
        <v>0.4</v>
      </c>
    </row>
    <row r="45" spans="1:17" ht="45" customHeight="1" x14ac:dyDescent="0.15">
      <c r="A45" s="32" t="s">
        <v>148</v>
      </c>
      <c r="B45" s="33" t="s">
        <v>149</v>
      </c>
      <c r="C45" s="34" t="s">
        <v>19</v>
      </c>
      <c r="D45" s="33" t="s">
        <v>150</v>
      </c>
      <c r="E45" s="33" t="s">
        <v>151</v>
      </c>
      <c r="F45" s="11"/>
      <c r="G45" s="12" t="s">
        <v>22</v>
      </c>
      <c r="H45" s="28" t="s">
        <v>27</v>
      </c>
      <c r="I45" s="13" t="s">
        <v>27</v>
      </c>
      <c r="J45" s="12" t="s">
        <v>22</v>
      </c>
      <c r="K45" s="13" t="s">
        <v>27</v>
      </c>
      <c r="L45" s="56" t="s">
        <v>22</v>
      </c>
      <c r="M45" s="56" t="s">
        <v>22</v>
      </c>
      <c r="N45" s="57" t="s">
        <v>27</v>
      </c>
      <c r="O45" s="57" t="s">
        <v>27</v>
      </c>
      <c r="P45" s="57" t="s">
        <v>27</v>
      </c>
      <c r="Q45" s="70">
        <f t="shared" si="3"/>
        <v>0.6</v>
      </c>
    </row>
    <row r="46" spans="1:17" ht="45" customHeight="1" x14ac:dyDescent="0.15">
      <c r="A46" s="35" t="s">
        <v>152</v>
      </c>
      <c r="B46" s="36" t="s">
        <v>153</v>
      </c>
      <c r="C46" s="37" t="s">
        <v>36</v>
      </c>
      <c r="D46" s="36" t="s">
        <v>20</v>
      </c>
      <c r="E46" s="36" t="s">
        <v>154</v>
      </c>
      <c r="F46" s="11"/>
      <c r="G46" s="12" t="s">
        <v>22</v>
      </c>
      <c r="H46" s="12" t="s">
        <v>22</v>
      </c>
      <c r="I46" s="12" t="s">
        <v>22</v>
      </c>
      <c r="J46" s="12" t="s">
        <v>22</v>
      </c>
      <c r="K46" s="12" t="s">
        <v>22</v>
      </c>
      <c r="L46" s="57" t="s">
        <v>27</v>
      </c>
      <c r="M46" s="56" t="s">
        <v>22</v>
      </c>
      <c r="N46" s="56" t="s">
        <v>22</v>
      </c>
      <c r="O46" s="56" t="s">
        <v>22</v>
      </c>
      <c r="P46" s="57" t="s">
        <v>27</v>
      </c>
      <c r="Q46" s="70">
        <f t="shared" si="3"/>
        <v>0.2</v>
      </c>
    </row>
    <row r="47" spans="1:17" ht="45" customHeight="1" x14ac:dyDescent="0.15">
      <c r="A47" s="35" t="s">
        <v>155</v>
      </c>
      <c r="B47" s="36" t="s">
        <v>156</v>
      </c>
      <c r="C47" s="37" t="s">
        <v>36</v>
      </c>
      <c r="D47" s="36" t="s">
        <v>20</v>
      </c>
      <c r="E47" s="36" t="s">
        <v>157</v>
      </c>
      <c r="F47" s="11"/>
      <c r="G47" s="12" t="s">
        <v>22</v>
      </c>
      <c r="H47" s="12" t="s">
        <v>22</v>
      </c>
      <c r="I47" s="13" t="s">
        <v>27</v>
      </c>
      <c r="J47" s="12" t="s">
        <v>22</v>
      </c>
      <c r="K47" s="12" t="s">
        <v>22</v>
      </c>
      <c r="L47" s="56" t="s">
        <v>22</v>
      </c>
      <c r="M47" s="57" t="s">
        <v>27</v>
      </c>
      <c r="N47" s="56" t="s">
        <v>22</v>
      </c>
      <c r="O47" s="56" t="s">
        <v>22</v>
      </c>
      <c r="P47" s="57" t="s">
        <v>27</v>
      </c>
      <c r="Q47" s="70">
        <f t="shared" si="3"/>
        <v>0.3</v>
      </c>
    </row>
    <row r="48" spans="1:17" ht="45" customHeight="1" x14ac:dyDescent="0.15">
      <c r="A48" s="32" t="s">
        <v>158</v>
      </c>
      <c r="B48" s="33" t="s">
        <v>159</v>
      </c>
      <c r="C48" s="34" t="s">
        <v>19</v>
      </c>
      <c r="D48" s="33" t="s">
        <v>160</v>
      </c>
      <c r="E48" s="33" t="s">
        <v>161</v>
      </c>
      <c r="F48" s="11"/>
      <c r="G48" s="12" t="s">
        <v>22</v>
      </c>
      <c r="H48" s="12" t="s">
        <v>22</v>
      </c>
      <c r="I48" s="13" t="s">
        <v>27</v>
      </c>
      <c r="J48" s="12" t="s">
        <v>22</v>
      </c>
      <c r="K48" s="12" t="s">
        <v>22</v>
      </c>
      <c r="L48" s="56" t="s">
        <v>22</v>
      </c>
      <c r="M48" s="57" t="s">
        <v>27</v>
      </c>
      <c r="N48" s="56" t="s">
        <v>22</v>
      </c>
      <c r="O48" s="56" t="s">
        <v>22</v>
      </c>
      <c r="P48" s="56" t="s">
        <v>22</v>
      </c>
      <c r="Q48" s="70">
        <f t="shared" si="3"/>
        <v>0.2</v>
      </c>
    </row>
    <row r="49" spans="1:17" ht="45" customHeight="1" x14ac:dyDescent="0.15">
      <c r="A49" s="35" t="s">
        <v>162</v>
      </c>
      <c r="B49" s="36" t="s">
        <v>163</v>
      </c>
      <c r="C49" s="37" t="s">
        <v>36</v>
      </c>
      <c r="D49" s="36" t="s">
        <v>20</v>
      </c>
      <c r="E49" s="36" t="s">
        <v>164</v>
      </c>
      <c r="F49" s="11"/>
      <c r="G49" s="12" t="s">
        <v>22</v>
      </c>
      <c r="H49" s="12" t="s">
        <v>22</v>
      </c>
      <c r="I49" s="12" t="s">
        <v>22</v>
      </c>
      <c r="J49" s="12" t="s">
        <v>22</v>
      </c>
      <c r="K49" s="12" t="s">
        <v>22</v>
      </c>
      <c r="L49" s="56" t="s">
        <v>22</v>
      </c>
      <c r="M49" s="56" t="s">
        <v>22</v>
      </c>
      <c r="N49" s="56" t="s">
        <v>22</v>
      </c>
      <c r="O49" s="56" t="s">
        <v>22</v>
      </c>
      <c r="P49" s="56" t="s">
        <v>22</v>
      </c>
      <c r="Q49" s="70">
        <f t="shared" si="3"/>
        <v>0</v>
      </c>
    </row>
    <row r="50" spans="1:17" ht="45" customHeight="1" x14ac:dyDescent="0.15">
      <c r="A50" s="35" t="s">
        <v>165</v>
      </c>
      <c r="B50" s="36" t="s">
        <v>166</v>
      </c>
      <c r="C50" s="37" t="s">
        <v>36</v>
      </c>
      <c r="D50" s="36" t="s">
        <v>20</v>
      </c>
      <c r="E50" s="36" t="s">
        <v>167</v>
      </c>
      <c r="F50" s="11"/>
      <c r="G50" s="12" t="s">
        <v>22</v>
      </c>
      <c r="H50" s="13" t="s">
        <v>27</v>
      </c>
      <c r="I50" s="12" t="s">
        <v>22</v>
      </c>
      <c r="J50" s="12" t="s">
        <v>22</v>
      </c>
      <c r="K50" s="12" t="s">
        <v>22</v>
      </c>
      <c r="L50" s="56" t="s">
        <v>22</v>
      </c>
      <c r="M50" s="56" t="s">
        <v>22</v>
      </c>
      <c r="N50" s="56" t="s">
        <v>22</v>
      </c>
      <c r="O50" s="56" t="s">
        <v>22</v>
      </c>
      <c r="P50" s="56" t="s">
        <v>22</v>
      </c>
      <c r="Q50" s="70">
        <f t="shared" si="3"/>
        <v>0.1</v>
      </c>
    </row>
    <row r="51" spans="1:17" ht="45" customHeight="1" x14ac:dyDescent="0.15">
      <c r="A51" s="32" t="s">
        <v>168</v>
      </c>
      <c r="B51" s="33" t="s">
        <v>169</v>
      </c>
      <c r="C51" s="34" t="s">
        <v>19</v>
      </c>
      <c r="D51" s="33" t="s">
        <v>20</v>
      </c>
      <c r="E51" s="33" t="s">
        <v>170</v>
      </c>
      <c r="F51" s="11"/>
      <c r="G51" s="13" t="s">
        <v>27</v>
      </c>
      <c r="H51" s="13" t="s">
        <v>27</v>
      </c>
      <c r="I51" s="12" t="s">
        <v>22</v>
      </c>
      <c r="J51" s="12" t="s">
        <v>22</v>
      </c>
      <c r="K51" s="12" t="s">
        <v>22</v>
      </c>
      <c r="L51" s="57" t="s">
        <v>27</v>
      </c>
      <c r="M51" s="59" t="s">
        <v>81</v>
      </c>
      <c r="N51" s="57" t="s">
        <v>27</v>
      </c>
      <c r="O51" s="57" t="s">
        <v>27</v>
      </c>
      <c r="P51" s="59" t="s">
        <v>81</v>
      </c>
      <c r="Q51" s="70">
        <f t="shared" si="3"/>
        <v>0.5</v>
      </c>
    </row>
    <row r="52" spans="1:17" ht="45" customHeight="1" x14ac:dyDescent="0.15">
      <c r="A52" s="32" t="s">
        <v>171</v>
      </c>
      <c r="B52" s="33" t="s">
        <v>172</v>
      </c>
      <c r="C52" s="34" t="s">
        <v>19</v>
      </c>
      <c r="D52" s="33" t="s">
        <v>173</v>
      </c>
      <c r="E52" s="33" t="s">
        <v>174</v>
      </c>
      <c r="F52" s="11" t="s">
        <v>175</v>
      </c>
      <c r="G52" s="13" t="s">
        <v>27</v>
      </c>
      <c r="H52" s="13" t="s">
        <v>27</v>
      </c>
      <c r="I52" s="13" t="s">
        <v>27</v>
      </c>
      <c r="J52" s="13" t="s">
        <v>27</v>
      </c>
      <c r="K52" s="13" t="s">
        <v>27</v>
      </c>
      <c r="L52" s="57" t="s">
        <v>27</v>
      </c>
      <c r="M52" s="57" t="s">
        <v>27</v>
      </c>
      <c r="N52" s="57" t="s">
        <v>27</v>
      </c>
      <c r="O52" s="57" t="s">
        <v>27</v>
      </c>
      <c r="P52" s="57" t="s">
        <v>27</v>
      </c>
      <c r="Q52" s="70">
        <f t="shared" si="3"/>
        <v>1</v>
      </c>
    </row>
    <row r="53" spans="1:17" ht="45" customHeight="1" x14ac:dyDescent="0.15">
      <c r="A53" s="32" t="s">
        <v>176</v>
      </c>
      <c r="B53" s="33" t="s">
        <v>177</v>
      </c>
      <c r="C53" s="34" t="s">
        <v>19</v>
      </c>
      <c r="D53" s="33" t="s">
        <v>178</v>
      </c>
      <c r="E53" s="33" t="s">
        <v>179</v>
      </c>
      <c r="F53" s="11" t="s">
        <v>175</v>
      </c>
      <c r="G53" s="12" t="s">
        <v>22</v>
      </c>
      <c r="H53" s="13" t="s">
        <v>27</v>
      </c>
      <c r="I53" s="13" t="s">
        <v>27</v>
      </c>
      <c r="J53" s="13" t="s">
        <v>27</v>
      </c>
      <c r="K53" s="12" t="s">
        <v>22</v>
      </c>
      <c r="L53" s="56" t="s">
        <v>22</v>
      </c>
      <c r="M53" s="57" t="s">
        <v>27</v>
      </c>
      <c r="N53" s="57" t="s">
        <v>27</v>
      </c>
      <c r="O53" s="56" t="s">
        <v>22</v>
      </c>
      <c r="P53" s="57" t="s">
        <v>27</v>
      </c>
      <c r="Q53" s="70">
        <f t="shared" si="3"/>
        <v>0.6</v>
      </c>
    </row>
    <row r="54" spans="1:17" ht="45" customHeight="1" x14ac:dyDescent="0.15">
      <c r="A54" s="32" t="s">
        <v>180</v>
      </c>
      <c r="B54" s="33" t="s">
        <v>181</v>
      </c>
      <c r="C54" s="34" t="s">
        <v>19</v>
      </c>
      <c r="D54" s="33" t="s">
        <v>134</v>
      </c>
      <c r="E54" s="33" t="s">
        <v>182</v>
      </c>
      <c r="F54" s="11" t="s">
        <v>175</v>
      </c>
      <c r="G54" s="12" t="s">
        <v>22</v>
      </c>
      <c r="H54" s="28" t="s">
        <v>27</v>
      </c>
      <c r="I54" s="27" t="s">
        <v>81</v>
      </c>
      <c r="J54" s="12" t="s">
        <v>22</v>
      </c>
      <c r="K54" s="12" t="s">
        <v>22</v>
      </c>
      <c r="L54" s="57" t="s">
        <v>27</v>
      </c>
      <c r="M54" s="57" t="s">
        <v>27</v>
      </c>
      <c r="N54" s="57" t="s">
        <v>27</v>
      </c>
      <c r="O54" s="57" t="s">
        <v>27</v>
      </c>
      <c r="P54" s="57" t="s">
        <v>27</v>
      </c>
      <c r="Q54" s="70">
        <f t="shared" si="3"/>
        <v>0.6</v>
      </c>
    </row>
    <row r="55" spans="1:17" ht="45" customHeight="1" x14ac:dyDescent="0.15">
      <c r="A55" s="32" t="s">
        <v>183</v>
      </c>
      <c r="B55" s="33" t="s">
        <v>184</v>
      </c>
      <c r="C55" s="34" t="s">
        <v>19</v>
      </c>
      <c r="D55" s="33" t="s">
        <v>134</v>
      </c>
      <c r="E55" s="33" t="s">
        <v>185</v>
      </c>
      <c r="F55" s="11" t="s">
        <v>175</v>
      </c>
      <c r="G55" s="12" t="s">
        <v>22</v>
      </c>
      <c r="H55" s="28" t="s">
        <v>27</v>
      </c>
      <c r="I55" s="12" t="s">
        <v>22</v>
      </c>
      <c r="J55" s="12" t="s">
        <v>22</v>
      </c>
      <c r="K55" s="12" t="s">
        <v>22</v>
      </c>
      <c r="L55" s="57" t="s">
        <v>27</v>
      </c>
      <c r="M55" s="57" t="s">
        <v>27</v>
      </c>
      <c r="N55" s="56" t="s">
        <v>22</v>
      </c>
      <c r="O55" s="57" t="s">
        <v>27</v>
      </c>
      <c r="P55" s="57" t="s">
        <v>27</v>
      </c>
      <c r="Q55" s="70">
        <f t="shared" si="3"/>
        <v>0.5</v>
      </c>
    </row>
    <row r="56" spans="1:17" ht="12" customHeight="1" x14ac:dyDescent="0.2"/>
    <row r="57" spans="1:17" ht="45" customHeight="1" x14ac:dyDescent="0.2">
      <c r="A57" s="65" t="s">
        <v>186</v>
      </c>
      <c r="B57" s="64"/>
      <c r="C57" s="64"/>
      <c r="D57" s="64"/>
      <c r="E57" s="64"/>
      <c r="F57" s="5"/>
      <c r="G57" s="6"/>
      <c r="H57" s="7"/>
      <c r="I57" s="7"/>
      <c r="J57" s="7"/>
      <c r="K57" s="7"/>
    </row>
    <row r="58" spans="1:17" ht="45" customHeight="1" x14ac:dyDescent="0.15">
      <c r="A58" s="38" t="s">
        <v>187</v>
      </c>
      <c r="B58" s="39" t="s">
        <v>188</v>
      </c>
      <c r="C58" s="40" t="s">
        <v>19</v>
      </c>
      <c r="D58" s="39" t="s">
        <v>25</v>
      </c>
      <c r="E58" s="39" t="s">
        <v>189</v>
      </c>
      <c r="F58" s="11"/>
      <c r="G58" s="13" t="s">
        <v>27</v>
      </c>
      <c r="H58" s="13" t="s">
        <v>27</v>
      </c>
      <c r="I58" s="13" t="s">
        <v>27</v>
      </c>
      <c r="J58" s="13" t="s">
        <v>27</v>
      </c>
      <c r="K58" s="13" t="s">
        <v>27</v>
      </c>
      <c r="L58" s="57" t="s">
        <v>27</v>
      </c>
      <c r="M58" s="57" t="s">
        <v>27</v>
      </c>
      <c r="N58" s="57" t="s">
        <v>27</v>
      </c>
      <c r="O58" s="57" t="s">
        <v>27</v>
      </c>
      <c r="P58" s="56" t="s">
        <v>22</v>
      </c>
      <c r="Q58" s="70">
        <f t="shared" ref="Q58:Q70" si="4">COUNTIF(G58:P58,"Y")/10</f>
        <v>0.9</v>
      </c>
    </row>
    <row r="59" spans="1:17" ht="45" customHeight="1" x14ac:dyDescent="0.15">
      <c r="A59" s="38" t="s">
        <v>190</v>
      </c>
      <c r="B59" s="39" t="s">
        <v>191</v>
      </c>
      <c r="C59" s="40" t="s">
        <v>19</v>
      </c>
      <c r="D59" s="39" t="s">
        <v>20</v>
      </c>
      <c r="E59" s="39" t="s">
        <v>192</v>
      </c>
      <c r="F59" s="11"/>
      <c r="G59" s="13" t="s">
        <v>27</v>
      </c>
      <c r="H59" s="13" t="s">
        <v>27</v>
      </c>
      <c r="I59" s="13" t="s">
        <v>27</v>
      </c>
      <c r="J59" s="13" t="s">
        <v>27</v>
      </c>
      <c r="K59" s="13" t="s">
        <v>27</v>
      </c>
      <c r="L59" s="57" t="s">
        <v>27</v>
      </c>
      <c r="M59" s="57" t="s">
        <v>27</v>
      </c>
      <c r="N59" s="57" t="s">
        <v>27</v>
      </c>
      <c r="O59" s="57" t="s">
        <v>27</v>
      </c>
      <c r="P59" s="56" t="s">
        <v>22</v>
      </c>
      <c r="Q59" s="70">
        <f t="shared" si="4"/>
        <v>0.9</v>
      </c>
    </row>
    <row r="60" spans="1:17" ht="45" customHeight="1" x14ac:dyDescent="0.15">
      <c r="A60" s="38" t="s">
        <v>193</v>
      </c>
      <c r="B60" s="39" t="s">
        <v>194</v>
      </c>
      <c r="C60" s="40" t="s">
        <v>19</v>
      </c>
      <c r="D60" s="39" t="s">
        <v>20</v>
      </c>
      <c r="E60" s="39" t="s">
        <v>195</v>
      </c>
      <c r="F60" s="11"/>
      <c r="G60" s="13" t="s">
        <v>27</v>
      </c>
      <c r="H60" s="13" t="s">
        <v>27</v>
      </c>
      <c r="I60" s="12" t="s">
        <v>22</v>
      </c>
      <c r="J60" s="12" t="s">
        <v>22</v>
      </c>
      <c r="K60" s="12" t="s">
        <v>22</v>
      </c>
      <c r="L60" s="57" t="s">
        <v>27</v>
      </c>
      <c r="M60" s="56" t="s">
        <v>22</v>
      </c>
      <c r="N60" s="59" t="s">
        <v>81</v>
      </c>
      <c r="O60" s="57" t="s">
        <v>27</v>
      </c>
      <c r="P60" s="56" t="s">
        <v>22</v>
      </c>
      <c r="Q60" s="70">
        <f t="shared" si="4"/>
        <v>0.4</v>
      </c>
    </row>
    <row r="61" spans="1:17" ht="45" customHeight="1" x14ac:dyDescent="0.15">
      <c r="A61" s="41" t="s">
        <v>196</v>
      </c>
      <c r="B61" s="42" t="s">
        <v>197</v>
      </c>
      <c r="C61" s="43" t="s">
        <v>36</v>
      </c>
      <c r="D61" s="42" t="s">
        <v>20</v>
      </c>
      <c r="E61" s="42" t="s">
        <v>198</v>
      </c>
      <c r="F61" s="11"/>
      <c r="G61" s="12" t="s">
        <v>22</v>
      </c>
      <c r="H61" s="12" t="s">
        <v>22</v>
      </c>
      <c r="I61" s="12" t="s">
        <v>22</v>
      </c>
      <c r="J61" s="12" t="s">
        <v>22</v>
      </c>
      <c r="K61" s="12" t="s">
        <v>22</v>
      </c>
      <c r="L61" s="56" t="s">
        <v>22</v>
      </c>
      <c r="M61" s="56" t="s">
        <v>22</v>
      </c>
      <c r="N61" s="56" t="s">
        <v>22</v>
      </c>
      <c r="O61" s="56" t="s">
        <v>22</v>
      </c>
      <c r="P61" s="56" t="s">
        <v>22</v>
      </c>
      <c r="Q61" s="70">
        <f t="shared" si="4"/>
        <v>0</v>
      </c>
    </row>
    <row r="62" spans="1:17" ht="45" customHeight="1" x14ac:dyDescent="0.15">
      <c r="A62" s="38" t="s">
        <v>199</v>
      </c>
      <c r="B62" s="39" t="s">
        <v>200</v>
      </c>
      <c r="C62" s="40" t="s">
        <v>19</v>
      </c>
      <c r="D62" s="39" t="s">
        <v>56</v>
      </c>
      <c r="E62" s="39" t="s">
        <v>201</v>
      </c>
      <c r="F62" s="11"/>
      <c r="G62" s="12" t="s">
        <v>22</v>
      </c>
      <c r="H62" s="13" t="s">
        <v>27</v>
      </c>
      <c r="I62" s="13" t="s">
        <v>27</v>
      </c>
      <c r="J62" s="13" t="s">
        <v>27</v>
      </c>
      <c r="K62" s="12" t="s">
        <v>22</v>
      </c>
      <c r="L62" s="57" t="s">
        <v>27</v>
      </c>
      <c r="M62" s="56" t="s">
        <v>22</v>
      </c>
      <c r="N62" s="56" t="s">
        <v>22</v>
      </c>
      <c r="O62" s="57" t="s">
        <v>27</v>
      </c>
      <c r="P62" s="56" t="s">
        <v>22</v>
      </c>
      <c r="Q62" s="70">
        <f t="shared" si="4"/>
        <v>0.5</v>
      </c>
    </row>
    <row r="63" spans="1:17" ht="45" customHeight="1" x14ac:dyDescent="0.15">
      <c r="A63" s="41" t="s">
        <v>202</v>
      </c>
      <c r="B63" s="42" t="s">
        <v>203</v>
      </c>
      <c r="C63" s="43" t="s">
        <v>36</v>
      </c>
      <c r="D63" s="42" t="s">
        <v>20</v>
      </c>
      <c r="E63" s="42" t="s">
        <v>204</v>
      </c>
      <c r="F63" s="11"/>
      <c r="G63" s="12" t="s">
        <v>22</v>
      </c>
      <c r="H63" s="13" t="s">
        <v>27</v>
      </c>
      <c r="I63" s="13" t="s">
        <v>27</v>
      </c>
      <c r="J63" s="13" t="s">
        <v>27</v>
      </c>
      <c r="K63" s="12" t="s">
        <v>22</v>
      </c>
      <c r="L63" s="56" t="s">
        <v>22</v>
      </c>
      <c r="M63" s="56" t="s">
        <v>22</v>
      </c>
      <c r="N63" s="57" t="s">
        <v>27</v>
      </c>
      <c r="O63" s="56" t="s">
        <v>22</v>
      </c>
      <c r="P63" s="56" t="s">
        <v>22</v>
      </c>
      <c r="Q63" s="70">
        <f t="shared" si="4"/>
        <v>0.4</v>
      </c>
    </row>
    <row r="64" spans="1:17" ht="45" customHeight="1" x14ac:dyDescent="0.15">
      <c r="A64" s="38" t="s">
        <v>205</v>
      </c>
      <c r="B64" s="39" t="s">
        <v>206</v>
      </c>
      <c r="C64" s="40" t="s">
        <v>19</v>
      </c>
      <c r="D64" s="39" t="s">
        <v>20</v>
      </c>
      <c r="E64" s="39" t="s">
        <v>207</v>
      </c>
      <c r="F64" s="11"/>
      <c r="G64" s="12" t="s">
        <v>22</v>
      </c>
      <c r="H64" s="13" t="s">
        <v>27</v>
      </c>
      <c r="I64" s="12" t="s">
        <v>22</v>
      </c>
      <c r="J64" s="12" t="s">
        <v>22</v>
      </c>
      <c r="K64" s="12" t="s">
        <v>22</v>
      </c>
      <c r="L64" s="57" t="s">
        <v>27</v>
      </c>
      <c r="M64" s="57" t="s">
        <v>27</v>
      </c>
      <c r="N64" s="56" t="s">
        <v>22</v>
      </c>
      <c r="O64" s="56" t="s">
        <v>22</v>
      </c>
      <c r="P64" s="57" t="s">
        <v>27</v>
      </c>
      <c r="Q64" s="70">
        <f t="shared" si="4"/>
        <v>0.4</v>
      </c>
    </row>
    <row r="65" spans="1:17" ht="45" customHeight="1" x14ac:dyDescent="0.15">
      <c r="A65" s="41" t="s">
        <v>208</v>
      </c>
      <c r="B65" s="42" t="s">
        <v>209</v>
      </c>
      <c r="C65" s="43" t="s">
        <v>36</v>
      </c>
      <c r="D65" s="42" t="s">
        <v>56</v>
      </c>
      <c r="E65" s="42" t="s">
        <v>210</v>
      </c>
      <c r="F65" s="11"/>
      <c r="G65" s="12" t="s">
        <v>22</v>
      </c>
      <c r="H65" s="12" t="s">
        <v>22</v>
      </c>
      <c r="I65" s="12" t="s">
        <v>22</v>
      </c>
      <c r="J65" s="12" t="s">
        <v>22</v>
      </c>
      <c r="K65" s="12" t="s">
        <v>22</v>
      </c>
      <c r="L65" s="56" t="s">
        <v>22</v>
      </c>
      <c r="M65" s="56" t="s">
        <v>22</v>
      </c>
      <c r="N65" s="56" t="s">
        <v>22</v>
      </c>
      <c r="O65" s="56" t="s">
        <v>22</v>
      </c>
      <c r="P65" s="56" t="s">
        <v>22</v>
      </c>
      <c r="Q65" s="70">
        <f t="shared" si="4"/>
        <v>0</v>
      </c>
    </row>
    <row r="66" spans="1:17" ht="45" customHeight="1" x14ac:dyDescent="0.15">
      <c r="A66" s="38" t="s">
        <v>211</v>
      </c>
      <c r="B66" s="39" t="s">
        <v>212</v>
      </c>
      <c r="C66" s="40" t="s">
        <v>19</v>
      </c>
      <c r="D66" s="39" t="s">
        <v>213</v>
      </c>
      <c r="E66" s="39" t="s">
        <v>214</v>
      </c>
      <c r="F66" s="11" t="s">
        <v>175</v>
      </c>
      <c r="G66" s="12" t="s">
        <v>22</v>
      </c>
      <c r="H66" s="28" t="s">
        <v>27</v>
      </c>
      <c r="I66" s="13" t="s">
        <v>27</v>
      </c>
      <c r="J66" s="12" t="s">
        <v>22</v>
      </c>
      <c r="K66" s="12" t="s">
        <v>22</v>
      </c>
      <c r="L66" s="56" t="s">
        <v>22</v>
      </c>
      <c r="M66" s="56" t="s">
        <v>22</v>
      </c>
      <c r="N66" s="56" t="s">
        <v>22</v>
      </c>
      <c r="O66" s="56" t="s">
        <v>22</v>
      </c>
      <c r="P66" s="56" t="s">
        <v>22</v>
      </c>
      <c r="Q66" s="70">
        <f t="shared" si="4"/>
        <v>0.2</v>
      </c>
    </row>
    <row r="67" spans="1:17" ht="45" customHeight="1" x14ac:dyDescent="0.15">
      <c r="A67" s="41" t="s">
        <v>215</v>
      </c>
      <c r="B67" s="42" t="s">
        <v>216</v>
      </c>
      <c r="C67" s="43" t="s">
        <v>36</v>
      </c>
      <c r="D67" s="42" t="s">
        <v>20</v>
      </c>
      <c r="E67" s="42" t="s">
        <v>217</v>
      </c>
      <c r="F67" s="11" t="s">
        <v>175</v>
      </c>
      <c r="G67" s="12" t="s">
        <v>22</v>
      </c>
      <c r="H67" s="28" t="s">
        <v>27</v>
      </c>
      <c r="I67" s="13" t="s">
        <v>27</v>
      </c>
      <c r="J67" s="12" t="s">
        <v>22</v>
      </c>
      <c r="K67" s="12" t="s">
        <v>22</v>
      </c>
      <c r="L67" s="57" t="s">
        <v>27</v>
      </c>
      <c r="M67" s="56" t="s">
        <v>22</v>
      </c>
      <c r="N67" s="56" t="s">
        <v>22</v>
      </c>
      <c r="O67" s="57" t="s">
        <v>27</v>
      </c>
      <c r="P67" s="56" t="s">
        <v>22</v>
      </c>
      <c r="Q67" s="70">
        <f t="shared" si="4"/>
        <v>0.4</v>
      </c>
    </row>
    <row r="68" spans="1:17" ht="45" customHeight="1" x14ac:dyDescent="0.15">
      <c r="A68" s="41" t="s">
        <v>218</v>
      </c>
      <c r="B68" s="42" t="s">
        <v>219</v>
      </c>
      <c r="C68" s="43" t="s">
        <v>36</v>
      </c>
      <c r="D68" s="42" t="s">
        <v>20</v>
      </c>
      <c r="E68" s="42" t="s">
        <v>220</v>
      </c>
      <c r="F68" s="11" t="s">
        <v>175</v>
      </c>
      <c r="G68" s="12" t="s">
        <v>22</v>
      </c>
      <c r="H68" s="28" t="s">
        <v>27</v>
      </c>
      <c r="I68" s="13" t="s">
        <v>27</v>
      </c>
      <c r="J68" s="12" t="s">
        <v>22</v>
      </c>
      <c r="K68" s="12" t="s">
        <v>22</v>
      </c>
      <c r="L68" s="56" t="s">
        <v>22</v>
      </c>
      <c r="M68" s="56" t="s">
        <v>22</v>
      </c>
      <c r="N68" s="56" t="s">
        <v>22</v>
      </c>
      <c r="O68" s="56" t="s">
        <v>22</v>
      </c>
      <c r="P68" s="56" t="s">
        <v>22</v>
      </c>
      <c r="Q68" s="70">
        <f t="shared" si="4"/>
        <v>0.2</v>
      </c>
    </row>
    <row r="69" spans="1:17" ht="45" customHeight="1" x14ac:dyDescent="0.15">
      <c r="A69" s="41" t="s">
        <v>221</v>
      </c>
      <c r="B69" s="42" t="s">
        <v>222</v>
      </c>
      <c r="C69" s="43" t="s">
        <v>36</v>
      </c>
      <c r="D69" s="42" t="s">
        <v>20</v>
      </c>
      <c r="E69" s="42" t="s">
        <v>223</v>
      </c>
      <c r="F69" s="11"/>
      <c r="G69" s="12" t="s">
        <v>22</v>
      </c>
      <c r="H69" s="12" t="s">
        <v>22</v>
      </c>
      <c r="I69" s="12" t="s">
        <v>22</v>
      </c>
      <c r="J69" s="12" t="s">
        <v>22</v>
      </c>
      <c r="K69" s="12" t="s">
        <v>22</v>
      </c>
      <c r="L69" s="56" t="s">
        <v>22</v>
      </c>
      <c r="M69" s="56" t="s">
        <v>22</v>
      </c>
      <c r="N69" s="56" t="s">
        <v>22</v>
      </c>
      <c r="O69" s="56" t="s">
        <v>22</v>
      </c>
      <c r="P69" s="56" t="s">
        <v>22</v>
      </c>
      <c r="Q69" s="70">
        <f t="shared" si="4"/>
        <v>0</v>
      </c>
    </row>
    <row r="70" spans="1:17" ht="45" customHeight="1" x14ac:dyDescent="0.15">
      <c r="A70" s="41" t="s">
        <v>224</v>
      </c>
      <c r="B70" s="42" t="s">
        <v>225</v>
      </c>
      <c r="C70" s="43" t="s">
        <v>36</v>
      </c>
      <c r="D70" s="42" t="s">
        <v>20</v>
      </c>
      <c r="E70" s="42" t="s">
        <v>226</v>
      </c>
      <c r="F70" s="11"/>
      <c r="G70" s="12" t="s">
        <v>22</v>
      </c>
      <c r="H70" s="13" t="s">
        <v>27</v>
      </c>
      <c r="I70" s="13" t="s">
        <v>27</v>
      </c>
      <c r="J70" s="12" t="s">
        <v>22</v>
      </c>
      <c r="K70" s="12" t="s">
        <v>22</v>
      </c>
      <c r="L70" s="57" t="s">
        <v>27</v>
      </c>
      <c r="M70" s="56" t="s">
        <v>22</v>
      </c>
      <c r="N70" s="56" t="s">
        <v>22</v>
      </c>
      <c r="O70" s="57" t="s">
        <v>27</v>
      </c>
      <c r="P70" s="56" t="s">
        <v>22</v>
      </c>
      <c r="Q70" s="70">
        <f t="shared" si="4"/>
        <v>0.4</v>
      </c>
    </row>
    <row r="71" spans="1:17" ht="12" customHeight="1" x14ac:dyDescent="0.2"/>
    <row r="72" spans="1:17" ht="45" customHeight="1" x14ac:dyDescent="0.2">
      <c r="A72" s="67" t="s">
        <v>227</v>
      </c>
      <c r="B72" s="64"/>
      <c r="C72" s="64"/>
      <c r="D72" s="64"/>
      <c r="E72" s="64"/>
      <c r="F72" s="5"/>
      <c r="G72" s="6"/>
      <c r="H72" s="7"/>
      <c r="I72" s="7"/>
      <c r="J72" s="7"/>
      <c r="K72" s="7"/>
    </row>
    <row r="73" spans="1:17" ht="45" customHeight="1" x14ac:dyDescent="0.15">
      <c r="A73" s="44" t="s">
        <v>228</v>
      </c>
      <c r="B73" s="45" t="s">
        <v>229</v>
      </c>
      <c r="C73" s="46" t="s">
        <v>19</v>
      </c>
      <c r="D73" s="45" t="s">
        <v>20</v>
      </c>
      <c r="E73" s="45" t="s">
        <v>230</v>
      </c>
      <c r="F73" s="11" t="s">
        <v>175</v>
      </c>
      <c r="G73" s="13" t="s">
        <v>27</v>
      </c>
      <c r="H73" s="13" t="s">
        <v>27</v>
      </c>
      <c r="I73" s="13" t="s">
        <v>27</v>
      </c>
      <c r="J73" s="13" t="s">
        <v>27</v>
      </c>
      <c r="K73" s="13" t="s">
        <v>27</v>
      </c>
      <c r="L73" s="57" t="s">
        <v>27</v>
      </c>
      <c r="M73" s="57" t="s">
        <v>27</v>
      </c>
      <c r="N73" s="57" t="s">
        <v>27</v>
      </c>
      <c r="O73" s="57" t="s">
        <v>27</v>
      </c>
      <c r="P73" s="57" t="s">
        <v>27</v>
      </c>
      <c r="Q73" s="70">
        <f t="shared" ref="Q73:Q79" si="5">COUNTIF(G73:P73,"Y")/10</f>
        <v>1</v>
      </c>
    </row>
    <row r="74" spans="1:17" ht="45" customHeight="1" x14ac:dyDescent="0.15">
      <c r="A74" s="44" t="s">
        <v>231</v>
      </c>
      <c r="B74" s="45" t="s">
        <v>232</v>
      </c>
      <c r="C74" s="46" t="s">
        <v>19</v>
      </c>
      <c r="D74" s="45" t="s">
        <v>20</v>
      </c>
      <c r="E74" s="45" t="s">
        <v>233</v>
      </c>
      <c r="F74" s="11" t="s">
        <v>175</v>
      </c>
      <c r="G74" s="13" t="s">
        <v>27</v>
      </c>
      <c r="H74" s="13" t="s">
        <v>27</v>
      </c>
      <c r="I74" s="12" t="s">
        <v>22</v>
      </c>
      <c r="J74" s="13" t="s">
        <v>27</v>
      </c>
      <c r="K74" s="12" t="s">
        <v>22</v>
      </c>
      <c r="L74" s="57" t="s">
        <v>27</v>
      </c>
      <c r="M74" s="57" t="s">
        <v>27</v>
      </c>
      <c r="N74" s="57" t="s">
        <v>27</v>
      </c>
      <c r="O74" s="57" t="s">
        <v>27</v>
      </c>
      <c r="P74" s="57" t="s">
        <v>27</v>
      </c>
      <c r="Q74" s="70">
        <f t="shared" si="5"/>
        <v>0.8</v>
      </c>
    </row>
    <row r="75" spans="1:17" ht="45" customHeight="1" x14ac:dyDescent="0.15">
      <c r="A75" s="47" t="s">
        <v>234</v>
      </c>
      <c r="B75" s="48" t="s">
        <v>235</v>
      </c>
      <c r="C75" s="49" t="s">
        <v>36</v>
      </c>
      <c r="D75" s="50" t="s">
        <v>236</v>
      </c>
      <c r="E75" s="48" t="s">
        <v>237</v>
      </c>
      <c r="F75" s="11" t="s">
        <v>175</v>
      </c>
      <c r="G75" s="12" t="s">
        <v>22</v>
      </c>
      <c r="H75" s="13" t="s">
        <v>27</v>
      </c>
      <c r="I75" s="12" t="s">
        <v>22</v>
      </c>
      <c r="J75" s="12" t="s">
        <v>22</v>
      </c>
      <c r="K75" s="12" t="s">
        <v>22</v>
      </c>
      <c r="L75" s="57" t="s">
        <v>27</v>
      </c>
      <c r="M75" s="57" t="s">
        <v>27</v>
      </c>
      <c r="N75" s="56" t="s">
        <v>22</v>
      </c>
      <c r="O75" s="57" t="s">
        <v>27</v>
      </c>
      <c r="P75" s="56" t="s">
        <v>22</v>
      </c>
      <c r="Q75" s="70">
        <f t="shared" si="5"/>
        <v>0.4</v>
      </c>
    </row>
    <row r="76" spans="1:17" ht="45" customHeight="1" x14ac:dyDescent="0.15">
      <c r="A76" s="47" t="s">
        <v>238</v>
      </c>
      <c r="B76" s="48" t="s">
        <v>239</v>
      </c>
      <c r="C76" s="49" t="s">
        <v>36</v>
      </c>
      <c r="D76" s="48" t="s">
        <v>240</v>
      </c>
      <c r="E76" s="48" t="s">
        <v>241</v>
      </c>
      <c r="F76" s="11"/>
      <c r="G76" s="12" t="s">
        <v>22</v>
      </c>
      <c r="H76" s="13" t="s">
        <v>27</v>
      </c>
      <c r="I76" s="12" t="s">
        <v>22</v>
      </c>
      <c r="J76" s="12" t="s">
        <v>22</v>
      </c>
      <c r="K76" s="12" t="s">
        <v>22</v>
      </c>
      <c r="L76" s="57" t="s">
        <v>27</v>
      </c>
      <c r="M76" s="57" t="s">
        <v>27</v>
      </c>
      <c r="N76" s="56" t="s">
        <v>22</v>
      </c>
      <c r="O76" s="56" t="s">
        <v>22</v>
      </c>
      <c r="P76" s="56" t="s">
        <v>22</v>
      </c>
      <c r="Q76" s="70">
        <f t="shared" si="5"/>
        <v>0.3</v>
      </c>
    </row>
    <row r="77" spans="1:17" ht="45" customHeight="1" x14ac:dyDescent="0.15">
      <c r="A77" s="47" t="s">
        <v>242</v>
      </c>
      <c r="B77" s="48" t="s">
        <v>243</v>
      </c>
      <c r="C77" s="49" t="s">
        <v>36</v>
      </c>
      <c r="D77" s="48" t="s">
        <v>20</v>
      </c>
      <c r="E77" s="48" t="s">
        <v>244</v>
      </c>
      <c r="F77" s="11" t="s">
        <v>175</v>
      </c>
      <c r="G77" s="12" t="s">
        <v>22</v>
      </c>
      <c r="H77" s="13" t="s">
        <v>27</v>
      </c>
      <c r="I77" s="12" t="s">
        <v>22</v>
      </c>
      <c r="J77" s="12" t="s">
        <v>22</v>
      </c>
      <c r="K77" s="12" t="s">
        <v>22</v>
      </c>
      <c r="L77" s="57" t="s">
        <v>27</v>
      </c>
      <c r="M77" s="56" t="s">
        <v>22</v>
      </c>
      <c r="N77" s="56" t="s">
        <v>22</v>
      </c>
      <c r="O77" s="57" t="s">
        <v>27</v>
      </c>
      <c r="P77" s="56" t="s">
        <v>22</v>
      </c>
      <c r="Q77" s="70">
        <f t="shared" si="5"/>
        <v>0.3</v>
      </c>
    </row>
    <row r="78" spans="1:17" ht="45" customHeight="1" x14ac:dyDescent="0.15">
      <c r="A78" s="47" t="s">
        <v>245</v>
      </c>
      <c r="B78" s="48" t="s">
        <v>246</v>
      </c>
      <c r="C78" s="49" t="s">
        <v>36</v>
      </c>
      <c r="D78" s="48" t="s">
        <v>20</v>
      </c>
      <c r="E78" s="48" t="s">
        <v>247</v>
      </c>
      <c r="F78" s="11" t="s">
        <v>175</v>
      </c>
      <c r="G78" s="12" t="s">
        <v>22</v>
      </c>
      <c r="H78" s="12" t="s">
        <v>22</v>
      </c>
      <c r="I78" s="12" t="s">
        <v>22</v>
      </c>
      <c r="J78" s="12" t="s">
        <v>22</v>
      </c>
      <c r="K78" s="12" t="s">
        <v>22</v>
      </c>
      <c r="L78" s="57" t="s">
        <v>27</v>
      </c>
      <c r="M78" s="56" t="s">
        <v>22</v>
      </c>
      <c r="N78" s="56" t="s">
        <v>22</v>
      </c>
      <c r="O78" s="57" t="s">
        <v>27</v>
      </c>
      <c r="P78" s="56" t="s">
        <v>22</v>
      </c>
      <c r="Q78" s="70">
        <f t="shared" si="5"/>
        <v>0.2</v>
      </c>
    </row>
    <row r="79" spans="1:17" ht="45" customHeight="1" x14ac:dyDescent="0.15">
      <c r="A79" s="47" t="s">
        <v>248</v>
      </c>
      <c r="B79" s="48" t="s">
        <v>249</v>
      </c>
      <c r="C79" s="49" t="s">
        <v>36</v>
      </c>
      <c r="D79" s="48" t="s">
        <v>20</v>
      </c>
      <c r="E79" s="48" t="s">
        <v>250</v>
      </c>
      <c r="F79" s="11" t="s">
        <v>175</v>
      </c>
      <c r="G79" s="13" t="s">
        <v>27</v>
      </c>
      <c r="H79" s="13" t="s">
        <v>27</v>
      </c>
      <c r="I79" s="12" t="s">
        <v>22</v>
      </c>
      <c r="J79" s="13" t="s">
        <v>27</v>
      </c>
      <c r="K79" s="12" t="s">
        <v>22</v>
      </c>
      <c r="L79" s="57" t="s">
        <v>27</v>
      </c>
      <c r="M79" s="57" t="s">
        <v>27</v>
      </c>
      <c r="N79" s="59" t="s">
        <v>81</v>
      </c>
      <c r="O79" s="57" t="s">
        <v>27</v>
      </c>
      <c r="P79" s="57" t="s">
        <v>27</v>
      </c>
      <c r="Q79" s="70">
        <f t="shared" si="5"/>
        <v>0.7</v>
      </c>
    </row>
    <row r="80" spans="1:17" ht="12" customHeight="1" x14ac:dyDescent="0.2"/>
    <row r="81" spans="1:16" ht="45" customHeight="1" x14ac:dyDescent="0.2">
      <c r="A81" s="14" t="s">
        <v>251</v>
      </c>
      <c r="B81" s="15" t="s">
        <v>252</v>
      </c>
      <c r="C81" s="16" t="s">
        <v>36</v>
      </c>
      <c r="D81" s="15" t="s">
        <v>20</v>
      </c>
      <c r="E81" s="15"/>
      <c r="F81" s="11"/>
      <c r="G81" s="12" t="s">
        <v>22</v>
      </c>
      <c r="H81" s="12" t="s">
        <v>22</v>
      </c>
      <c r="I81" s="12" t="s">
        <v>22</v>
      </c>
      <c r="J81" s="12" t="s">
        <v>22</v>
      </c>
      <c r="K81" s="12" t="s">
        <v>22</v>
      </c>
      <c r="L81" s="56" t="s">
        <v>22</v>
      </c>
      <c r="M81" s="56" t="s">
        <v>22</v>
      </c>
      <c r="N81" s="56" t="s">
        <v>22</v>
      </c>
      <c r="O81" s="56" t="s">
        <v>22</v>
      </c>
      <c r="P81" s="56" t="s">
        <v>22</v>
      </c>
    </row>
    <row r="82" spans="1:16" ht="15" customHeight="1" x14ac:dyDescent="0.15">
      <c r="A82" s="51" t="s">
        <v>253</v>
      </c>
      <c r="G82" s="52">
        <v>24</v>
      </c>
      <c r="H82" s="52">
        <v>48</v>
      </c>
      <c r="I82" s="52">
        <v>34</v>
      </c>
      <c r="J82" s="52">
        <v>24</v>
      </c>
      <c r="K82" s="52">
        <v>23</v>
      </c>
      <c r="L82" s="60">
        <v>40</v>
      </c>
      <c r="M82" s="60">
        <v>33</v>
      </c>
      <c r="N82" s="60">
        <v>27</v>
      </c>
      <c r="O82" s="60">
        <v>39</v>
      </c>
      <c r="P82" s="60">
        <v>35</v>
      </c>
    </row>
    <row r="83" spans="1:16" ht="15" customHeight="1" x14ac:dyDescent="0.15">
      <c r="A83" s="51" t="s">
        <v>254</v>
      </c>
      <c r="G83" s="52">
        <v>1</v>
      </c>
      <c r="H83" s="52">
        <v>1</v>
      </c>
      <c r="I83" s="52">
        <v>2</v>
      </c>
      <c r="J83" s="52">
        <v>1</v>
      </c>
      <c r="K83" s="52">
        <v>0</v>
      </c>
      <c r="L83" s="61">
        <v>1</v>
      </c>
      <c r="M83" s="61">
        <v>1</v>
      </c>
      <c r="N83" s="61">
        <v>2</v>
      </c>
      <c r="O83" s="61">
        <v>0</v>
      </c>
      <c r="P83" s="61">
        <v>1</v>
      </c>
    </row>
    <row r="84" spans="1:16" ht="15" customHeight="1" x14ac:dyDescent="0.15">
      <c r="A84" s="51" t="s">
        <v>255</v>
      </c>
      <c r="G84" s="52">
        <v>43</v>
      </c>
      <c r="H84" s="52">
        <v>18</v>
      </c>
      <c r="I84" s="52">
        <v>32</v>
      </c>
      <c r="J84" s="52">
        <v>43</v>
      </c>
      <c r="K84" s="52">
        <v>45</v>
      </c>
      <c r="L84" s="62">
        <v>26</v>
      </c>
      <c r="M84" s="62">
        <v>33</v>
      </c>
      <c r="N84" s="62">
        <v>37</v>
      </c>
      <c r="O84" s="62">
        <v>28</v>
      </c>
      <c r="P84" s="62">
        <v>31</v>
      </c>
    </row>
  </sheetData>
  <mergeCells count="6">
    <mergeCell ref="A20:E20"/>
    <mergeCell ref="A57:E57"/>
    <mergeCell ref="A2:E2"/>
    <mergeCell ref="A72:E72"/>
    <mergeCell ref="A33:E33"/>
    <mergeCell ref="A13:E13"/>
  </mergeCells>
  <conditionalFormatting sqref="A13">
    <cfRule type="colorScale" priority="4">
      <colorScale>
        <cfvo type="min"/>
        <cfvo type="max"/>
        <color rgb="FFFFFFFF"/>
        <color rgb="FF57BB8A"/>
      </colorScale>
    </cfRule>
  </conditionalFormatting>
  <conditionalFormatting sqref="A72:E72">
    <cfRule type="colorScale" priority="3">
      <colorScale>
        <cfvo type="min"/>
        <cfvo type="max"/>
        <color rgb="FFFFFFFF"/>
        <color rgb="FF57BB8A"/>
      </colorScale>
    </cfRule>
  </conditionalFormatting>
  <conditionalFormatting sqref="D75">
    <cfRule type="colorScale" priority="2">
      <colorScale>
        <cfvo type="min"/>
        <cfvo type="max"/>
        <color rgb="FFFFFFFF"/>
        <color rgb="FF57BB8A"/>
      </colorScale>
    </cfRule>
  </conditionalFormatting>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5"/>
  <sheetViews>
    <sheetView zoomScaleNormal="100" workbookViewId="0"/>
  </sheetViews>
  <sheetFormatPr baseColWidth="10" defaultColWidth="8.6640625" defaultRowHeight="15" x14ac:dyDescent="0.2"/>
  <cols>
    <col min="1" max="1" width="10" customWidth="1"/>
    <col min="2" max="2" width="45" customWidth="1"/>
    <col min="3" max="3" width="20" customWidth="1"/>
  </cols>
  <sheetData>
    <row r="1" spans="1:3" ht="15" customHeight="1" x14ac:dyDescent="0.2">
      <c r="A1" s="53" t="s">
        <v>256</v>
      </c>
      <c r="B1" s="53" t="s">
        <v>257</v>
      </c>
      <c r="C1" s="53" t="s">
        <v>258</v>
      </c>
    </row>
    <row r="2" spans="1:3" ht="15" customHeight="1" x14ac:dyDescent="0.2">
      <c r="A2" s="13" t="s">
        <v>27</v>
      </c>
      <c r="B2" s="54" t="s">
        <v>259</v>
      </c>
      <c r="C2" s="54" t="s">
        <v>260</v>
      </c>
    </row>
    <row r="3" spans="1:3" ht="15" customHeight="1" x14ac:dyDescent="0.2">
      <c r="A3" s="27" t="s">
        <v>81</v>
      </c>
      <c r="B3" s="54" t="s">
        <v>261</v>
      </c>
      <c r="C3" s="54" t="s">
        <v>262</v>
      </c>
    </row>
    <row r="4" spans="1:3" ht="15" customHeight="1" x14ac:dyDescent="0.2">
      <c r="A4" s="12" t="s">
        <v>22</v>
      </c>
      <c r="B4" s="54" t="s">
        <v>263</v>
      </c>
      <c r="C4" s="54" t="s">
        <v>264</v>
      </c>
    </row>
    <row r="5" spans="1:3" ht="15" customHeight="1" x14ac:dyDescent="0.2">
      <c r="A5" s="23" t="s">
        <v>64</v>
      </c>
      <c r="B5" s="54" t="s">
        <v>265</v>
      </c>
      <c r="C5" s="54" t="s">
        <v>266</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TAPP</vt:lpstr>
      <vt:lpstr>Legend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Ruolin Deng</cp:lastModifiedBy>
  <cp:revision>0</cp:revision>
  <dcterms:created xsi:type="dcterms:W3CDTF">2026-04-23T16:59:57Z</dcterms:created>
  <dcterms:modified xsi:type="dcterms:W3CDTF">2026-04-28T15:32:07Z</dcterms:modified>
  <dc:language>en-US</dc:language>
</cp:coreProperties>
</file>